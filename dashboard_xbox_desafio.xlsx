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mir\OneDrive\Área de Trabalho\"/>
    </mc:Choice>
  </mc:AlternateContent>
  <xr:revisionPtr revIDLastSave="0" documentId="13_ncr:1_{256AD0BC-31F3-4E60-A3B0-E8B2CFFDEA5F}" xr6:coauthVersionLast="47" xr6:coauthVersionMax="47" xr10:uidLastSave="{00000000-0000-0000-0000-000000000000}"/>
  <bookViews>
    <workbookView xWindow="-113" yWindow="-113" windowWidth="24267" windowHeight="13023" firstSheet="2" activeTab="3" xr2:uid="{28DD5B76-0634-4F87-BE60-8BFA7EF2E23B}"/>
  </bookViews>
  <sheets>
    <sheet name="A̳ssets" sheetId="1" state="hidden" r:id="rId1"/>
    <sheet name="B̳ases" sheetId="2" state="hidden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3" l="1"/>
  <c r="C21" i="3"/>
  <c r="C22" i="3"/>
  <c r="C23" i="3"/>
  <c r="C24" i="3"/>
  <c r="C25" i="3"/>
  <c r="C20" i="3"/>
  <c r="C27" i="3" l="1"/>
  <c r="AB3" i="4"/>
  <c r="AB4" i="4"/>
</calcChain>
</file>

<file path=xl/sharedStrings.xml><?xml version="1.0" encoding="utf-8"?>
<sst xmlns="http://schemas.openxmlformats.org/spreadsheetml/2006/main" count="1843" uniqueCount="325">
  <si>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</si>
  <si>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</si>
  <si>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</si>
  <si>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</si>
  <si>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</si>
  <si>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</si>
  <si>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</si>
  <si>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</si>
  <si>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</si>
  <si>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</si>
  <si>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</si>
  <si>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</si>
  <si>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</si>
  <si>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</si>
  <si>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</si>
  <si>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</si>
  <si>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</si>
  <si>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</si>
  <si>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</si>
  <si>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</si>
  <si>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</si>
  <si>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</si>
  <si>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</si>
  <si>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</si>
  <si>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</si>
  <si>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</si>
  <si>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</si>
  <si>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</si>
  <si>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</si>
  <si>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</si>
  <si>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</si>
  <si>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</si>
  <si>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</si>
  <si>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</si>
  <si>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</si>
  <si>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</si>
  <si>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</si>
  <si>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</si>
  <si>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</si>
  <si>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</si>
  <si>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</si>
  <si>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</si>
  <si>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</si>
  <si>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</si>
  <si>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</si>
  <si>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</si>
  <si>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</si>
  <si>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</si>
  <si>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</si>
  <si>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</si>
  <si>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</si>
  <si>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</si>
  <si>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</si>
  <si>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</si>
  <si>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</si>
  <si>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</si>
  <si>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</si>
  <si>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</si>
  <si>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</si>
  <si>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</si>
  <si>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</si>
  <si>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</si>
  <si>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</si>
  <si>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</si>
  <si>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</si>
  <si>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</si>
  <si>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</si>
  <si>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</si>
  <si>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</si>
  <si>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</si>
  <si>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</si>
  <si>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</si>
  <si>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</si>
  <si>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</si>
  <si>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</si>
  <si>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</si>
  <si>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</si>
  <si>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</si>
  <si>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</si>
  <si>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</si>
  <si>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</si>
  <si>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</si>
  <si>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</si>
  <si>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</si>
  <si>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</si>
  <si>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</si>
  <si>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</si>
  <si>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</si>
  <si>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</si>
  <si>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</si>
  <si>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</si>
  <si>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</si>
  <si>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</si>
  <si>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</si>
  <si>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</si>
  <si>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</si>
  <si>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</si>
  <si>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</si>
  <si>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</si>
  <si>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</si>
  <si>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</si>
  <si>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</si>
  <si>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</si>
  <si>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</si>
  <si>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</si>
  <si>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</si>
  <si>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</si>
  <si>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</si>
  <si>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</si>
  <si>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</si>
  <si>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</si>
  <si>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</si>
  <si>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</si>
  <si>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</si>
  <si>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</si>
  <si>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</si>
  <si>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</si>
  <si>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</si>
  <si>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</si>
  <si>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</si>
  <si>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</si>
  <si>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</si>
  <si>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</si>
  <si>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</si>
  <si>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</si>
  <si>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</si>
  <si>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</si>
  <si>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</si>
  <si>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</si>
  <si>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</si>
  <si>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</si>
  <si>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</si>
  <si>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</si>
  <si>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</si>
  <si>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</si>
  <si>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</si>
  <si>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</si>
  <si>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</si>
  <si>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</si>
  <si>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</si>
  <si>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</si>
  <si>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</si>
  <si>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</si>
  <si>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</si>
  <si>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</si>
  <si>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</si>
  <si>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</si>
  <si>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</si>
  <si>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</si>
  <si>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</si>
  <si>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</si>
  <si>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</si>
  <si>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</si>
  <si>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</si>
  <si>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</si>
  <si>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</si>
  <si>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</si>
  <si>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</si>
  <si>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</si>
  <si>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</si>
  <si>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</si>
  <si>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</si>
  <si>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</si>
  <si>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</si>
  <si>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</si>
  <si>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</si>
  <si>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</si>
  <si>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</si>
  <si>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</si>
  <si>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</si>
  <si>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</si>
  <si>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</si>
  <si>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</si>
  <si>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</si>
  <si>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</si>
  <si>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</si>
  <si>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</si>
  <si>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</si>
  <si>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</si>
  <si>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</si>
  <si>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</si>
  <si>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</si>
  <si>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</si>
  <si>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</si>
  <si>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</si>
  <si>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</si>
  <si>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</si>
  <si>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</si>
  <si>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</si>
  <si>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</si>
  <si>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</si>
  <si>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</si>
  <si>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</si>
  <si>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</si>
  <si>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</si>
  <si>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</si>
  <si>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</si>
  <si>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</si>
  <si>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</si>
  <si>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</si>
  <si>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</si>
  <si>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</si>
  <si>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</si>
  <si>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</si>
  <si>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</si>
  <si>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</si>
  <si>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</si>
  <si>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</si>
  <si>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</si>
  <si>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</si>
  <si>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</si>
  <si>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</si>
  <si>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</si>
  <si>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</si>
  <si>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</si>
  <si>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</si>
  <si>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</si>
  <si>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</si>
  <si>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</si>
  <si>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</si>
  <si>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</si>
  <si>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</si>
  <si>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</si>
  <si>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</si>
  <si>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</si>
  <si>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</si>
  <si>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</si>
  <si>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</si>
  <si>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</si>
  <si>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</si>
  <si>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</si>
  <si>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</si>
  <si>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</si>
  <si>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</si>
  <si>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</si>
  <si>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</si>
  <si>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</si>
  <si>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</si>
  <si>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</si>
  <si>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</si>
  <si>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</si>
  <si>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</si>
  <si>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</si>
  <si>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</si>
  <si>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</si>
  <si>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</si>
  <si>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</si>
  <si>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</si>
  <si>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</si>
  <si>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</si>
  <si>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</si>
  <si>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</si>
  <si>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</si>
  <si>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</si>
  <si>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</si>
  <si>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</si>
  <si>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</si>
  <si>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</si>
  <si>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</si>
  <si>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</si>
  <si>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</si>
  <si>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</si>
  <si>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</si>
  <si>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</si>
  <si>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</si>
  <si>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</si>
  <si>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</si>
  <si>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</si>
  <si>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</si>
  <si>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</si>
  <si>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</si>
  <si>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</si>
  <si>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</si>
  <si>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</si>
  <si>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</si>
  <si>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</si>
  <si>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</si>
  <si>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</si>
  <si>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</si>
  <si>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</si>
  <si>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</si>
  <si>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</si>
  <si>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</si>
  <si>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</si>
  <si>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</si>
  <si>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</si>
  <si>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</si>
  <si>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</si>
  <si>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</si>
  <si>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</si>
  <si>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</si>
  <si>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</si>
  <si>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</si>
  <si>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</si>
  <si>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</si>
  <si>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</si>
  <si>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</si>
  <si>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</si>
  <si>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</si>
  <si>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</si>
  <si>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</si>
  <si>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</si>
  <si>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</si>
  <si>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</si>
  <si>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</si>
  <si>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</si>
  <si>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</si>
  <si>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</si>
  <si>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</si>
  <si>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</si>
  <si>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</si>
  <si>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Subscription Price</t>
  </si>
  <si>
    <t>Rótulos de Linha</t>
  </si>
  <si>
    <t>Total Geral</t>
  </si>
  <si>
    <t>Soma de Total Value</t>
  </si>
  <si>
    <t>Soma de EA Play Season Pass</t>
  </si>
  <si>
    <t>Soma de Minecraft Season Pass Price</t>
  </si>
  <si>
    <t>Total Result</t>
  </si>
  <si>
    <t>EA Play Total</t>
  </si>
  <si>
    <t>Minecraft Total</t>
  </si>
  <si>
    <t>Xbox Game Pass Total</t>
  </si>
  <si>
    <t>Valor</t>
  </si>
  <si>
    <t>Contagem de Subscriber ID</t>
  </si>
  <si>
    <t>Subscribers</t>
  </si>
  <si>
    <t>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</si>
</sst>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7" fontId="0" fillId="0" borderId="0" xfId="0" applyNumberFormat="1"/>
    <xf numFmtId="164" fontId="0" fillId="0" borderId="0" xfId="2" applyNumberFormat="1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numFmt numFmtId="164" formatCode="&quot;R$&quot;\ #,##0.00"/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5" defaultTableStyle="TableStyleMedium2" defaultPivotStyle="PivotStyleLight16">
    <tableStyle name="Estilo de Segmentação de Dados 1" pivot="0" table="0" count="1" xr9:uid="{56F1C55F-2C9E-41B1-AC71-1ED3988BF602}"/>
    <tableStyle name="Estilo de Segmentação de Dados 2" pivot="0" table="0" count="1" xr9:uid="{96F0C8C9-C96F-4674-8157-902A169AEFF3}"/>
    <tableStyle name="Estilo de Segmentação de Dados 3" pivot="0" table="0" count="1" xr9:uid="{A5EB6A5B-F8C3-4F4C-854B-2A6A2DC264C0}"/>
    <tableStyle name="Estilo de Segmentação de Dados 4" pivot="0" table="0" count="1" xr9:uid="{ED733B92-7FB6-4D11-8D19-863000495BDA}">
      <tableStyleElement type="wholeTable" dxfId="15"/>
    </tableStyle>
    <tableStyle name="Estilo de Segmentação de Dados 5" pivot="0" table="0" count="1" xr9:uid="{A3E0C457-5160-4CAB-8974-9A1566BA1510}">
      <tableStyleElement type="wholeTable" dxfId="14"/>
    </tableStyle>
  </tableStyles>
  <colors>
    <mruColors>
      <color rgb="FF2AE6B1"/>
      <color rgb="FF5BF6A8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Estilo de Segmentação de Dados 5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800"/>
              <a:t>Auto 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747003499562555"/>
          <c:y val="0.19486111111111112"/>
          <c:w val="0.8080855205599299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(D̳ashboard!$AA$3,D̳ashboard!$AA$4)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(D̳ashboard!$AB$3,D̳ashboard!$AB$4)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3-439C-A369-91B563ED3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9936880"/>
        <c:axId val="449934000"/>
      </c:barChart>
      <c:catAx>
        <c:axId val="44993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934000"/>
        <c:crosses val="autoZero"/>
        <c:auto val="1"/>
        <c:lblAlgn val="ctr"/>
        <c:lblOffset val="100"/>
        <c:noMultiLvlLbl val="0"/>
      </c:catAx>
      <c:valAx>
        <c:axId val="4499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93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[dashboard_xbox_desafio.xlsx]C̳álculos!Tabela dinâmica7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800"/>
              <a:t>Revenue by Plan</a:t>
            </a:r>
            <a:endParaRPr lang="en-US" sz="1800"/>
          </a:p>
        </c:rich>
      </c:tx>
      <c:layout>
        <c:manualLayout>
          <c:xMode val="edge"/>
          <c:yMode val="edge"/>
          <c:x val="0.38424900278152468"/>
          <c:y val="1.64980550912245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C̳álculos!$K$24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C̳álculos!$J$25:$J$28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C̳álculos!$K$25:$K$28</c:f>
              <c:numCache>
                <c:formatCode>_("R$"* #,##0.00_);_("R$"* \(#,##0.00\);_("R$"* "-"??_);_(@_)</c:formatCode>
                <c:ptCount val="3"/>
                <c:pt idx="0">
                  <c:v>192</c:v>
                </c:pt>
                <c:pt idx="1">
                  <c:v>958</c:v>
                </c:pt>
                <c:pt idx="2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F-4089-8E02-0FED4297E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2694160"/>
        <c:axId val="392693200"/>
      </c:barChart>
      <c:catAx>
        <c:axId val="3926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693200"/>
        <c:crosses val="autoZero"/>
        <c:auto val="1"/>
        <c:lblAlgn val="ctr"/>
        <c:lblOffset val="100"/>
        <c:noMultiLvlLbl val="0"/>
      </c:catAx>
      <c:valAx>
        <c:axId val="39269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69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111300</xdr:rowOff>
    </xdr:from>
    <xdr:to>
      <xdr:col>4</xdr:col>
      <xdr:colOff>281398</xdr:colOff>
      <xdr:row>16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209" y="2751133"/>
          <a:ext cx="1553606" cy="461194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11</xdr:col>
      <xdr:colOff>845655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83779" y="5425770"/>
          <a:ext cx="1628989" cy="753802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13252</xdr:colOff>
      <xdr:row>1</xdr:row>
      <xdr:rowOff>477079</xdr:rowOff>
    </xdr:from>
    <xdr:to>
      <xdr:col>5</xdr:col>
      <xdr:colOff>251791</xdr:colOff>
      <xdr:row>9</xdr:row>
      <xdr:rowOff>159026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034A2E7D-B5C5-4331-A8FC-888FFF6B25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0017" y="1086679"/>
              <a:ext cx="2398644" cy="1404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29817</xdr:colOff>
      <xdr:row>2</xdr:row>
      <xdr:rowOff>1</xdr:rowOff>
    </xdr:from>
    <xdr:to>
      <xdr:col>10</xdr:col>
      <xdr:colOff>208721</xdr:colOff>
      <xdr:row>4</xdr:row>
      <xdr:rowOff>69574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BCECDB1-4BF4-2A11-17B6-52957C8CA709}"/>
            </a:ext>
          </a:extLst>
        </xdr:cNvPr>
        <xdr:cNvSpPr txBox="1"/>
      </xdr:nvSpPr>
      <xdr:spPr>
        <a:xfrm>
          <a:off x="5088835" y="1103245"/>
          <a:ext cx="2395330" cy="268355"/>
        </a:xfrm>
        <a:prstGeom prst="rect">
          <a:avLst/>
        </a:prstGeom>
        <a:solidFill>
          <a:srgbClr val="5BF6A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/>
            <a:t>Xbox Game Pass</a:t>
          </a:r>
        </a:p>
      </xdr:txBody>
    </xdr:sp>
    <xdr:clientData/>
  </xdr:twoCellAnchor>
  <xdr:twoCellAnchor>
    <xdr:from>
      <xdr:col>10</xdr:col>
      <xdr:colOff>616225</xdr:colOff>
      <xdr:row>2</xdr:row>
      <xdr:rowOff>1</xdr:rowOff>
    </xdr:from>
    <xdr:to>
      <xdr:col>14</xdr:col>
      <xdr:colOff>327992</xdr:colOff>
      <xdr:row>4</xdr:row>
      <xdr:rowOff>69574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F24CA4B-A69F-41D5-932B-1AB62CCEA0B3}"/>
            </a:ext>
          </a:extLst>
        </xdr:cNvPr>
        <xdr:cNvSpPr txBox="1"/>
      </xdr:nvSpPr>
      <xdr:spPr>
        <a:xfrm>
          <a:off x="7891669" y="1103245"/>
          <a:ext cx="2087219" cy="268355"/>
        </a:xfrm>
        <a:prstGeom prst="rect">
          <a:avLst/>
        </a:prstGeom>
        <a:solidFill>
          <a:srgbClr val="5BF6A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/>
            <a:t>EA Play Season Pass</a:t>
          </a:r>
        </a:p>
      </xdr:txBody>
    </xdr:sp>
    <xdr:clientData/>
  </xdr:twoCellAnchor>
  <xdr:twoCellAnchor>
    <xdr:from>
      <xdr:col>15</xdr:col>
      <xdr:colOff>99392</xdr:colOff>
      <xdr:row>2</xdr:row>
      <xdr:rowOff>1</xdr:rowOff>
    </xdr:from>
    <xdr:to>
      <xdr:col>18</xdr:col>
      <xdr:colOff>278296</xdr:colOff>
      <xdr:row>4</xdr:row>
      <xdr:rowOff>69574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70DA02A-9FE6-4452-A764-24164C1678C5}"/>
            </a:ext>
          </a:extLst>
        </xdr:cNvPr>
        <xdr:cNvSpPr txBox="1"/>
      </xdr:nvSpPr>
      <xdr:spPr>
        <a:xfrm>
          <a:off x="10386392" y="1103245"/>
          <a:ext cx="2087217" cy="268355"/>
        </a:xfrm>
        <a:prstGeom prst="rect">
          <a:avLst/>
        </a:prstGeom>
        <a:solidFill>
          <a:srgbClr val="5BF6A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/>
            <a:t>Minecraft Season Pass</a:t>
          </a:r>
        </a:p>
      </xdr:txBody>
    </xdr:sp>
    <xdr:clientData/>
  </xdr:twoCellAnchor>
  <xdr:oneCellAnchor>
    <xdr:from>
      <xdr:col>7</xdr:col>
      <xdr:colOff>208722</xdr:colOff>
      <xdr:row>5</xdr:row>
      <xdr:rowOff>9940</xdr:rowOff>
    </xdr:from>
    <xdr:ext cx="2077278" cy="311496"/>
    <xdr:sp macro="" textlink="C̳álculos!C25">
      <xdr:nvSpPr>
        <xdr:cNvPr id="7" name="CaixaDeTexto 6">
          <a:extLst>
            <a:ext uri="{FF2B5EF4-FFF2-40B4-BE49-F238E27FC236}">
              <a16:creationId xmlns:a16="http://schemas.microsoft.com/office/drawing/2014/main" id="{2D7147F3-6191-E05A-3E7A-7E84BA3CD209}"/>
            </a:ext>
          </a:extLst>
        </xdr:cNvPr>
        <xdr:cNvSpPr txBox="1"/>
      </xdr:nvSpPr>
      <xdr:spPr>
        <a:xfrm>
          <a:off x="5267740" y="1441175"/>
          <a:ext cx="20772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54C21688-EF81-4183-82EE-E7269755C8C0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 algn="ctr"/>
            <a:t>R$ 3.571,00</a:t>
          </a:fld>
          <a:endParaRPr lang="pt-BR" sz="1400"/>
        </a:p>
      </xdr:txBody>
    </xdr:sp>
    <xdr:clientData/>
  </xdr:oneCellAnchor>
  <xdr:oneCellAnchor>
    <xdr:from>
      <xdr:col>10</xdr:col>
      <xdr:colOff>598833</xdr:colOff>
      <xdr:row>5</xdr:row>
      <xdr:rowOff>29818</xdr:rowOff>
    </xdr:from>
    <xdr:ext cx="2077278" cy="311496"/>
    <xdr:sp macro="" textlink="C̳álculos!C23">
      <xdr:nvSpPr>
        <xdr:cNvPr id="10" name="CaixaDeTexto 9">
          <a:extLst>
            <a:ext uri="{FF2B5EF4-FFF2-40B4-BE49-F238E27FC236}">
              <a16:creationId xmlns:a16="http://schemas.microsoft.com/office/drawing/2014/main" id="{066B09AD-26D0-4D89-ABB4-F23824628ADD}"/>
            </a:ext>
          </a:extLst>
        </xdr:cNvPr>
        <xdr:cNvSpPr txBox="1"/>
      </xdr:nvSpPr>
      <xdr:spPr>
        <a:xfrm>
          <a:off x="7874277" y="1461053"/>
          <a:ext cx="20772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57FA09C5-E4F2-4175-99CD-CB137B241444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 algn="ctr"/>
            <a:t>R$ 1.350,00</a:t>
          </a:fld>
          <a:endParaRPr lang="pt-BR" sz="1400"/>
        </a:p>
      </xdr:txBody>
    </xdr:sp>
    <xdr:clientData/>
  </xdr:oneCellAnchor>
  <xdr:oneCellAnchor>
    <xdr:from>
      <xdr:col>15</xdr:col>
      <xdr:colOff>74543</xdr:colOff>
      <xdr:row>5</xdr:row>
      <xdr:rowOff>39757</xdr:rowOff>
    </xdr:from>
    <xdr:ext cx="2077278" cy="311496"/>
    <xdr:sp macro="" textlink="C̳álculos!C24">
      <xdr:nvSpPr>
        <xdr:cNvPr id="11" name="CaixaDeTexto 10">
          <a:extLst>
            <a:ext uri="{FF2B5EF4-FFF2-40B4-BE49-F238E27FC236}">
              <a16:creationId xmlns:a16="http://schemas.microsoft.com/office/drawing/2014/main" id="{15E9A18E-A7C2-46F7-ADCC-95F93DC5F26D}"/>
            </a:ext>
          </a:extLst>
        </xdr:cNvPr>
        <xdr:cNvSpPr txBox="1"/>
      </xdr:nvSpPr>
      <xdr:spPr>
        <a:xfrm>
          <a:off x="10361543" y="1470992"/>
          <a:ext cx="20772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F424AFD4-FF19-477F-B509-EA23A4CC7637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 algn="ctr"/>
            <a:t>R$ 1.800,00</a:t>
          </a:fld>
          <a:endParaRPr lang="pt-BR" sz="1400"/>
        </a:p>
      </xdr:txBody>
    </xdr:sp>
    <xdr:clientData/>
  </xdr:oneCellAnchor>
  <xdr:twoCellAnchor>
    <xdr:from>
      <xdr:col>7</xdr:col>
      <xdr:colOff>53008</xdr:colOff>
      <xdr:row>8</xdr:row>
      <xdr:rowOff>26505</xdr:rowOff>
    </xdr:from>
    <xdr:to>
      <xdr:col>16</xdr:col>
      <xdr:colOff>304801</xdr:colOff>
      <xdr:row>35</xdr:row>
      <xdr:rowOff>79513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4B77CA6-AD96-4835-9C43-747B098D6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-1</xdr:colOff>
      <xdr:row>0</xdr:row>
      <xdr:rowOff>0</xdr:rowOff>
    </xdr:from>
    <xdr:to>
      <xdr:col>14</xdr:col>
      <xdr:colOff>0</xdr:colOff>
      <xdr:row>6</xdr:row>
      <xdr:rowOff>9940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7CCE617-709E-4900-91C8-E09D3C203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8687" y="0"/>
          <a:ext cx="1272209" cy="1560444"/>
        </a:xfrm>
        <a:prstGeom prst="rect">
          <a:avLst/>
        </a:prstGeom>
      </xdr:spPr>
    </xdr:pic>
    <xdr:clientData/>
  </xdr:twoCellAnchor>
  <xdr:twoCellAnchor editAs="absolute">
    <xdr:from>
      <xdr:col>15</xdr:col>
      <xdr:colOff>367747</xdr:colOff>
      <xdr:row>0</xdr:row>
      <xdr:rowOff>487018</xdr:rowOff>
    </xdr:from>
    <xdr:to>
      <xdr:col>17</xdr:col>
      <xdr:colOff>576469</xdr:colOff>
      <xdr:row>1</xdr:row>
      <xdr:rowOff>447261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4D43C530-3BB2-49E2-B168-A2310D5603F1}"/>
            </a:ext>
          </a:extLst>
        </xdr:cNvPr>
        <xdr:cNvGrpSpPr>
          <a:grpSpLocks noChangeAspect="1"/>
        </xdr:cNvGrpSpPr>
      </xdr:nvGrpSpPr>
      <xdr:grpSpPr>
        <a:xfrm>
          <a:off x="10638182" y="487018"/>
          <a:ext cx="1480930" cy="569843"/>
          <a:chOff x="3495675" y="5400674"/>
          <a:chExt cx="1549476" cy="752476"/>
        </a:xfrm>
      </xdr:grpSpPr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3C4F8054-4B9B-8C3F-F5F3-3640B6DF84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9" name="Gráfico 18">
            <a:extLst>
              <a:ext uri="{FF2B5EF4-FFF2-40B4-BE49-F238E27FC236}">
                <a16:creationId xmlns:a16="http://schemas.microsoft.com/office/drawing/2014/main" id="{DE925B56-D799-4F42-A2D5-EB941EF5EF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7</xdr:col>
      <xdr:colOff>374585</xdr:colOff>
      <xdr:row>1</xdr:row>
      <xdr:rowOff>0</xdr:rowOff>
    </xdr:from>
    <xdr:to>
      <xdr:col>9</xdr:col>
      <xdr:colOff>347870</xdr:colOff>
      <xdr:row>1</xdr:row>
      <xdr:rowOff>461194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3C1166BF-99EA-42D2-B790-CC3990EB9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33603" y="606288"/>
          <a:ext cx="1553606" cy="4611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145094</xdr:rowOff>
    </xdr:from>
    <xdr:to>
      <xdr:col>0</xdr:col>
      <xdr:colOff>1553606</xdr:colOff>
      <xdr:row>1</xdr:row>
      <xdr:rowOff>0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D37C21D5-2FE3-459A-BEE3-C9B071642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5094"/>
          <a:ext cx="1553606" cy="461194"/>
        </a:xfrm>
        <a:prstGeom prst="rect">
          <a:avLst/>
        </a:prstGeom>
      </xdr:spPr>
    </xdr:pic>
    <xdr:clientData/>
  </xdr:twoCellAnchor>
  <xdr:twoCellAnchor>
    <xdr:from>
      <xdr:col>19</xdr:col>
      <xdr:colOff>49695</xdr:colOff>
      <xdr:row>2</xdr:row>
      <xdr:rowOff>1</xdr:rowOff>
    </xdr:from>
    <xdr:to>
      <xdr:col>22</xdr:col>
      <xdr:colOff>228600</xdr:colOff>
      <xdr:row>4</xdr:row>
      <xdr:rowOff>69574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950037A-CECD-432B-96BC-2A9975822133}"/>
            </a:ext>
          </a:extLst>
        </xdr:cNvPr>
        <xdr:cNvSpPr txBox="1"/>
      </xdr:nvSpPr>
      <xdr:spPr>
        <a:xfrm>
          <a:off x="12881113" y="1103245"/>
          <a:ext cx="2087217" cy="268355"/>
        </a:xfrm>
        <a:prstGeom prst="rect">
          <a:avLst/>
        </a:prstGeom>
        <a:solidFill>
          <a:srgbClr val="5BF6A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/>
            <a:t>Subscribers</a:t>
          </a:r>
        </a:p>
      </xdr:txBody>
    </xdr:sp>
    <xdr:clientData/>
  </xdr:twoCellAnchor>
  <xdr:twoCellAnchor>
    <xdr:from>
      <xdr:col>23</xdr:col>
      <xdr:colOff>0</xdr:colOff>
      <xdr:row>2</xdr:row>
      <xdr:rowOff>1</xdr:rowOff>
    </xdr:from>
    <xdr:to>
      <xdr:col>25</xdr:col>
      <xdr:colOff>815008</xdr:colOff>
      <xdr:row>4</xdr:row>
      <xdr:rowOff>69574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E64CC283-C924-4CAC-A7A8-EB37011E81CC}"/>
            </a:ext>
          </a:extLst>
        </xdr:cNvPr>
        <xdr:cNvSpPr txBox="1"/>
      </xdr:nvSpPr>
      <xdr:spPr>
        <a:xfrm>
          <a:off x="15375835" y="1103245"/>
          <a:ext cx="2087217" cy="268355"/>
        </a:xfrm>
        <a:prstGeom prst="rect">
          <a:avLst/>
        </a:prstGeom>
        <a:solidFill>
          <a:srgbClr val="5BF6A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/>
            <a:t>ARPU</a:t>
          </a:r>
        </a:p>
      </xdr:txBody>
    </xdr:sp>
    <xdr:clientData/>
  </xdr:twoCellAnchor>
  <xdr:oneCellAnchor>
    <xdr:from>
      <xdr:col>19</xdr:col>
      <xdr:colOff>67088</xdr:colOff>
      <xdr:row>5</xdr:row>
      <xdr:rowOff>9940</xdr:rowOff>
    </xdr:from>
    <xdr:ext cx="2077278" cy="311496"/>
    <xdr:sp macro="" textlink="C̳álculos!C26">
      <xdr:nvSpPr>
        <xdr:cNvPr id="25" name="CaixaDeTexto 24">
          <a:extLst>
            <a:ext uri="{FF2B5EF4-FFF2-40B4-BE49-F238E27FC236}">
              <a16:creationId xmlns:a16="http://schemas.microsoft.com/office/drawing/2014/main" id="{FBE16BE3-E3AC-43D2-A1D3-30DFBC2CDF33}"/>
            </a:ext>
          </a:extLst>
        </xdr:cNvPr>
        <xdr:cNvSpPr txBox="1"/>
      </xdr:nvSpPr>
      <xdr:spPr>
        <a:xfrm>
          <a:off x="12898506" y="1441175"/>
          <a:ext cx="20772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7F5CAD2E-D674-49BA-A4E9-467EB20C78E9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 algn="ctr"/>
            <a:t>139</a:t>
          </a:fld>
          <a:endParaRPr lang="pt-BR" sz="1400"/>
        </a:p>
      </xdr:txBody>
    </xdr:sp>
    <xdr:clientData/>
  </xdr:oneCellAnchor>
  <xdr:oneCellAnchor>
    <xdr:from>
      <xdr:col>23</xdr:col>
      <xdr:colOff>9939</xdr:colOff>
      <xdr:row>4</xdr:row>
      <xdr:rowOff>119270</xdr:rowOff>
    </xdr:from>
    <xdr:ext cx="2077278" cy="311496"/>
    <xdr:sp macro="" textlink="C̳álculos!C27">
      <xdr:nvSpPr>
        <xdr:cNvPr id="26" name="CaixaDeTexto 25">
          <a:extLst>
            <a:ext uri="{FF2B5EF4-FFF2-40B4-BE49-F238E27FC236}">
              <a16:creationId xmlns:a16="http://schemas.microsoft.com/office/drawing/2014/main" id="{4AD53DDF-29E0-4DDF-9B98-7A97F75ED42A}"/>
            </a:ext>
          </a:extLst>
        </xdr:cNvPr>
        <xdr:cNvSpPr txBox="1"/>
      </xdr:nvSpPr>
      <xdr:spPr>
        <a:xfrm>
          <a:off x="15385774" y="1421296"/>
          <a:ext cx="20772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9DE2D8C9-28CD-4A18-B54A-B7EBE4B6A2C1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 algn="ctr"/>
            <a:t>R$ 25,69</a:t>
          </a:fld>
          <a:endParaRPr lang="pt-BR" sz="1400"/>
        </a:p>
      </xdr:txBody>
    </xdr:sp>
    <xdr:clientData/>
  </xdr:oneCellAnchor>
  <xdr:twoCellAnchor editAs="absolute">
    <xdr:from>
      <xdr:col>19</xdr:col>
      <xdr:colOff>347870</xdr:colOff>
      <xdr:row>0</xdr:row>
      <xdr:rowOff>506895</xdr:rowOff>
    </xdr:from>
    <xdr:to>
      <xdr:col>20</xdr:col>
      <xdr:colOff>258418</xdr:colOff>
      <xdr:row>1</xdr:row>
      <xdr:rowOff>436659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3F32E518-15DE-467E-B6CC-2B061ED6D23B}"/>
            </a:ext>
          </a:extLst>
        </xdr:cNvPr>
        <xdr:cNvSpPr/>
      </xdr:nvSpPr>
      <xdr:spPr>
        <a:xfrm>
          <a:off x="13179288" y="506895"/>
          <a:ext cx="546651" cy="53605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21</xdr:col>
      <xdr:colOff>19878</xdr:colOff>
      <xdr:row>0</xdr:row>
      <xdr:rowOff>506895</xdr:rowOff>
    </xdr:from>
    <xdr:to>
      <xdr:col>21</xdr:col>
      <xdr:colOff>566531</xdr:colOff>
      <xdr:row>1</xdr:row>
      <xdr:rowOff>446599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B0AB0DB3-4A3D-4B0B-A279-55E5FA19741C}"/>
            </a:ext>
          </a:extLst>
        </xdr:cNvPr>
        <xdr:cNvSpPr/>
      </xdr:nvSpPr>
      <xdr:spPr>
        <a:xfrm>
          <a:off x="14123504" y="506895"/>
          <a:ext cx="546653" cy="545992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17</xdr:col>
      <xdr:colOff>384314</xdr:colOff>
      <xdr:row>8</xdr:row>
      <xdr:rowOff>26503</xdr:rowOff>
    </xdr:from>
    <xdr:to>
      <xdr:col>25</xdr:col>
      <xdr:colOff>834887</xdr:colOff>
      <xdr:row>35</xdr:row>
      <xdr:rowOff>66262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4FBF032D-E8C3-46CB-B882-A8F9A92A0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a. Namiriane Leal" refreshedDate="46041.748324305554" createdVersion="8" refreshedVersion="8" minRefreshableVersion="3" recordCount="295" xr:uid="{C068958D-3F63-459F-8E1C-FDC320779E2D}">
  <cacheSource type="worksheet">
    <worksheetSource name="tb_base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String="0" containsBlank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386543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m/>
    <s v="No"/>
    <n v="0"/>
    <n v="0"/>
    <n v="5"/>
  </r>
  <r>
    <n v="3233"/>
    <s v="Lucas Fernandes"/>
    <x v="2"/>
    <d v="2024-02-10T00:00:00"/>
    <x v="0"/>
    <n v="10"/>
    <x v="2"/>
    <s v="No"/>
    <m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m/>
    <s v="No"/>
    <n v="0"/>
    <n v="1"/>
    <n v="4"/>
  </r>
  <r>
    <n v="3236"/>
    <s v="Felipe Costa"/>
    <x v="2"/>
    <d v="2024-03-02T00:00:00"/>
    <x v="1"/>
    <n v="10"/>
    <x v="0"/>
    <s v="No"/>
    <m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m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m/>
    <s v="Yes"/>
    <n v="20"/>
    <n v="15"/>
    <n v="15"/>
  </r>
  <r>
    <n v="3241"/>
    <s v="Rita Castro"/>
    <x v="1"/>
    <d v="2024-03-07T00:00:00"/>
    <x v="1"/>
    <n v="5"/>
    <x v="0"/>
    <s v="No"/>
    <m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m/>
    <s v="Yes"/>
    <n v="20"/>
    <n v="10"/>
    <n v="20"/>
  </r>
  <r>
    <n v="3244"/>
    <s v="Diogo Sousa"/>
    <x v="1"/>
    <d v="2024-03-10T00:00:00"/>
    <x v="0"/>
    <n v="5"/>
    <x v="2"/>
    <s v="No"/>
    <m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m/>
    <s v="Yes"/>
    <n v="20"/>
    <n v="12"/>
    <n v="18"/>
  </r>
  <r>
    <n v="3247"/>
    <s v="Beatriz Gomes"/>
    <x v="1"/>
    <d v="2024-03-13T00:00:00"/>
    <x v="1"/>
    <n v="5"/>
    <x v="0"/>
    <s v="No"/>
    <m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m/>
    <s v="Yes"/>
    <n v="20"/>
    <n v="5"/>
    <n v="25"/>
  </r>
  <r>
    <n v="3250"/>
    <s v="Eduardo Vargas"/>
    <x v="1"/>
    <d v="2024-03-16T00:00:00"/>
    <x v="0"/>
    <n v="5"/>
    <x v="1"/>
    <s v="No"/>
    <m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m/>
    <s v="Yes"/>
    <n v="20"/>
    <n v="15"/>
    <n v="15"/>
  </r>
  <r>
    <n v="3253"/>
    <s v="Isabela Moreira"/>
    <x v="1"/>
    <d v="2024-03-19T00:00:00"/>
    <x v="1"/>
    <n v="5"/>
    <x v="0"/>
    <s v="No"/>
    <m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m/>
    <s v="Yes"/>
    <n v="20"/>
    <n v="10"/>
    <n v="20"/>
  </r>
  <r>
    <n v="3256"/>
    <s v="Matheus Silva"/>
    <x v="1"/>
    <d v="2024-03-22T00:00:00"/>
    <x v="0"/>
    <n v="5"/>
    <x v="2"/>
    <s v="No"/>
    <m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m/>
    <s v="Yes"/>
    <n v="20"/>
    <n v="15"/>
    <n v="15"/>
  </r>
  <r>
    <n v="3259"/>
    <s v="Paula Ferreira"/>
    <x v="1"/>
    <d v="2024-03-25T00:00:00"/>
    <x v="1"/>
    <n v="5"/>
    <x v="0"/>
    <s v="No"/>
    <m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m/>
    <s v="Yes"/>
    <n v="20"/>
    <n v="10"/>
    <n v="20"/>
  </r>
  <r>
    <n v="3262"/>
    <s v="Tânia Barros"/>
    <x v="1"/>
    <d v="2024-03-28T00:00:00"/>
    <x v="0"/>
    <n v="5"/>
    <x v="1"/>
    <s v="No"/>
    <m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m/>
    <s v="Yes"/>
    <n v="20"/>
    <n v="15"/>
    <n v="15"/>
  </r>
  <r>
    <n v="3265"/>
    <s v="Zé Carlos"/>
    <x v="1"/>
    <d v="2024-03-31T00:00:00"/>
    <x v="1"/>
    <n v="5"/>
    <x v="0"/>
    <s v="No"/>
    <m/>
    <s v="No"/>
    <n v="0"/>
    <n v="1"/>
    <n v="4"/>
  </r>
  <r>
    <n v="3266"/>
    <s v="Amanda Nogueira"/>
    <x v="1"/>
    <d v="2024-04-01T00:00:00"/>
    <x v="0"/>
    <n v="5"/>
    <x v="0"/>
    <s v="No"/>
    <m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m/>
    <s v="Yes"/>
    <n v="20"/>
    <n v="10"/>
    <n v="20"/>
  </r>
  <r>
    <n v="3269"/>
    <s v="Diego Fontes"/>
    <x v="1"/>
    <d v="2024-04-04T00:00:00"/>
    <x v="1"/>
    <n v="5"/>
    <x v="2"/>
    <s v="No"/>
    <m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m/>
    <s v="Yes"/>
    <n v="20"/>
    <n v="5"/>
    <n v="25"/>
  </r>
  <r>
    <n v="3272"/>
    <s v="Gisele Araújo"/>
    <x v="1"/>
    <d v="2024-04-07T00:00:00"/>
    <x v="0"/>
    <n v="5"/>
    <x v="1"/>
    <s v="No"/>
    <m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m/>
    <s v="Yes"/>
    <n v="20"/>
    <n v="12"/>
    <n v="18"/>
  </r>
  <r>
    <n v="3275"/>
    <s v="Jorge Baptista"/>
    <x v="1"/>
    <d v="2024-04-10T00:00:00"/>
    <x v="1"/>
    <n v="5"/>
    <x v="0"/>
    <s v="No"/>
    <m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m/>
    <s v="Yes"/>
    <n v="20"/>
    <n v="10"/>
    <n v="20"/>
  </r>
  <r>
    <n v="3278"/>
    <s v="Márcia Eller"/>
    <x v="1"/>
    <d v="2024-04-13T00:00:00"/>
    <x v="0"/>
    <n v="5"/>
    <x v="2"/>
    <s v="No"/>
    <m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m/>
    <s v="Yes"/>
    <n v="20"/>
    <n v="15"/>
    <n v="15"/>
  </r>
  <r>
    <n v="3281"/>
    <s v="Patrícia Soares"/>
    <x v="1"/>
    <d v="2024-04-16T00:00:00"/>
    <x v="1"/>
    <n v="5"/>
    <x v="0"/>
    <s v="No"/>
    <m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m/>
    <s v="Yes"/>
    <n v="20"/>
    <n v="10"/>
    <n v="20"/>
  </r>
  <r>
    <n v="3284"/>
    <s v="Sônia Lobo"/>
    <x v="1"/>
    <d v="2024-04-19T00:00:00"/>
    <x v="0"/>
    <n v="5"/>
    <x v="1"/>
    <s v="No"/>
    <m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m/>
    <s v="Yes"/>
    <n v="20"/>
    <n v="15"/>
    <n v="15"/>
  </r>
  <r>
    <n v="3287"/>
    <s v="Valéria Nobre"/>
    <x v="1"/>
    <d v="2024-04-22T00:00:00"/>
    <x v="1"/>
    <n v="5"/>
    <x v="0"/>
    <s v="No"/>
    <m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m/>
    <s v="Yes"/>
    <n v="20"/>
    <n v="10"/>
    <n v="20"/>
  </r>
  <r>
    <n v="3290"/>
    <s v="Yara Figueiredo"/>
    <x v="1"/>
    <d v="2024-04-25T00:00:00"/>
    <x v="0"/>
    <n v="5"/>
    <x v="2"/>
    <s v="No"/>
    <m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m/>
    <s v="Yes"/>
    <n v="20"/>
    <n v="15"/>
    <n v="15"/>
  </r>
  <r>
    <n v="3293"/>
    <s v="Bruno Mars"/>
    <x v="1"/>
    <d v="2024-04-28T00:00:00"/>
    <x v="1"/>
    <n v="5"/>
    <x v="0"/>
    <s v="No"/>
    <m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m/>
    <s v="Yes"/>
    <n v="20"/>
    <n v="5"/>
    <n v="25"/>
  </r>
  <r>
    <n v="3296"/>
    <s v="Estela Marques"/>
    <x v="1"/>
    <d v="2024-05-01T00:00:00"/>
    <x v="1"/>
    <n v="5"/>
    <x v="0"/>
    <s v="No"/>
    <m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m/>
    <s v="Yes"/>
    <n v="20"/>
    <n v="10"/>
    <n v="20"/>
  </r>
  <r>
    <n v="3299"/>
    <s v="Helena Santos"/>
    <x v="1"/>
    <d v="2024-05-04T00:00:00"/>
    <x v="0"/>
    <n v="5"/>
    <x v="2"/>
    <s v="No"/>
    <m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m/>
    <s v="Yes"/>
    <n v="20"/>
    <n v="5"/>
    <n v="25"/>
  </r>
  <r>
    <n v="3302"/>
    <s v="Karla Alves"/>
    <x v="1"/>
    <d v="2024-05-07T00:00:00"/>
    <x v="1"/>
    <n v="5"/>
    <x v="1"/>
    <s v="No"/>
    <m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m/>
    <s v="Yes"/>
    <n v="20"/>
    <n v="12"/>
    <n v="18"/>
  </r>
  <r>
    <n v="3305"/>
    <s v="Norberto Queiroz"/>
    <x v="1"/>
    <d v="2024-05-10T00:00:00"/>
    <x v="0"/>
    <n v="5"/>
    <x v="0"/>
    <s v="No"/>
    <m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m/>
    <s v="Yes"/>
    <n v="20"/>
    <n v="10"/>
    <n v="20"/>
  </r>
  <r>
    <n v="3308"/>
    <s v="Quentin Ramos"/>
    <x v="1"/>
    <d v="2024-05-13T00:00:00"/>
    <x v="1"/>
    <n v="5"/>
    <x v="2"/>
    <s v="No"/>
    <m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m/>
    <s v="Yes"/>
    <n v="20"/>
    <n v="15"/>
    <n v="15"/>
  </r>
  <r>
    <n v="3311"/>
    <s v="Tiago Martins"/>
    <x v="1"/>
    <d v="2024-05-16T00:00:00"/>
    <x v="0"/>
    <n v="5"/>
    <x v="0"/>
    <s v="No"/>
    <m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m/>
    <s v="Yes"/>
    <n v="20"/>
    <n v="10"/>
    <n v="20"/>
  </r>
  <r>
    <n v="3314"/>
    <s v="William Carneiro"/>
    <x v="1"/>
    <d v="2024-05-19T00:00:00"/>
    <x v="1"/>
    <n v="5"/>
    <x v="1"/>
    <s v="No"/>
    <m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m/>
    <s v="Yes"/>
    <n v="20"/>
    <n v="15"/>
    <n v="15"/>
  </r>
  <r>
    <n v="3317"/>
    <s v="Zara Cunha"/>
    <x v="1"/>
    <d v="2024-05-22T00:00:00"/>
    <x v="0"/>
    <n v="5"/>
    <x v="0"/>
    <s v="No"/>
    <m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m/>
    <s v="Yes"/>
    <n v="20"/>
    <n v="10"/>
    <n v="20"/>
  </r>
  <r>
    <n v="3320"/>
    <s v="Carlos Junqueira"/>
    <x v="1"/>
    <d v="2024-05-25T00:00:00"/>
    <x v="1"/>
    <n v="5"/>
    <x v="2"/>
    <s v="No"/>
    <m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m/>
    <s v="Yes"/>
    <n v="20"/>
    <n v="15"/>
    <n v="15"/>
  </r>
  <r>
    <n v="3323"/>
    <s v="Fabiana Araújo"/>
    <x v="1"/>
    <d v="2024-05-28T00:00:00"/>
    <x v="0"/>
    <n v="5"/>
    <x v="0"/>
    <s v="No"/>
    <m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m/>
    <s v="Yes"/>
    <n v="20"/>
    <n v="15"/>
    <n v="15"/>
  </r>
  <r>
    <n v="3326"/>
    <s v="Isabela Fonseca"/>
    <x v="1"/>
    <d v="2024-05-31T00:00:00"/>
    <x v="1"/>
    <n v="5"/>
    <x v="1"/>
    <s v="No"/>
    <m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m/>
    <s v="Yes"/>
    <n v="20"/>
    <n v="10"/>
    <n v="20"/>
  </r>
  <r>
    <n v="3329"/>
    <s v="Luciana Mendes"/>
    <x v="1"/>
    <d v="2024-06-03T00:00:00"/>
    <x v="0"/>
    <n v="5"/>
    <x v="2"/>
    <s v="No"/>
    <m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m/>
    <s v="Yes"/>
    <n v="20"/>
    <n v="5"/>
    <n v="25"/>
  </r>
  <r>
    <n v="3332"/>
    <s v="Oscar Nogueira"/>
    <x v="1"/>
    <d v="2024-06-06T00:00:00"/>
    <x v="1"/>
    <n v="5"/>
    <x v="1"/>
    <s v="No"/>
    <m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m/>
    <s v="Yes"/>
    <n v="20"/>
    <n v="12"/>
    <n v="18"/>
  </r>
  <r>
    <n v="3335"/>
    <s v="Samantha Moraes"/>
    <x v="1"/>
    <d v="2024-06-09T00:00:00"/>
    <x v="0"/>
    <n v="5"/>
    <x v="0"/>
    <s v="No"/>
    <m/>
    <s v="No"/>
    <n v="0"/>
    <n v="2"/>
    <n v="3"/>
  </r>
  <r>
    <n v="3336"/>
    <s v="Tatiana Rocha"/>
    <x v="1"/>
    <d v="2024-06-10T00:00:00"/>
    <x v="0"/>
    <n v="5"/>
    <x v="0"/>
    <s v="No"/>
    <m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m/>
    <s v="Yes"/>
    <n v="20"/>
    <n v="10"/>
    <n v="20"/>
  </r>
  <r>
    <n v="3339"/>
    <s v="Wilma Barros"/>
    <x v="1"/>
    <d v="2024-06-13T00:00:00"/>
    <x v="1"/>
    <n v="5"/>
    <x v="2"/>
    <s v="No"/>
    <m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m/>
    <s v="Yes"/>
    <n v="20"/>
    <n v="5"/>
    <n v="25"/>
  </r>
  <r>
    <n v="3342"/>
    <s v="Zilda Ferreira"/>
    <x v="1"/>
    <d v="2024-06-16T00:00:00"/>
    <x v="0"/>
    <n v="5"/>
    <x v="1"/>
    <s v="No"/>
    <m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m/>
    <s v="Yes"/>
    <n v="20"/>
    <n v="12"/>
    <n v="18"/>
  </r>
  <r>
    <n v="3345"/>
    <s v="Célia Torres"/>
    <x v="1"/>
    <d v="2024-06-19T00:00:00"/>
    <x v="1"/>
    <n v="5"/>
    <x v="0"/>
    <s v="No"/>
    <m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m/>
    <s v="Yes"/>
    <n v="20"/>
    <n v="10"/>
    <n v="20"/>
  </r>
  <r>
    <n v="3348"/>
    <s v="Fátima Lima"/>
    <x v="1"/>
    <d v="2024-06-22T00:00:00"/>
    <x v="0"/>
    <n v="5"/>
    <x v="2"/>
    <s v="No"/>
    <m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m/>
    <s v="Yes"/>
    <n v="20"/>
    <n v="15"/>
    <n v="15"/>
  </r>
  <r>
    <n v="3351"/>
    <s v="Íris Santos"/>
    <x v="1"/>
    <d v="2024-06-25T00:00:00"/>
    <x v="1"/>
    <n v="5"/>
    <x v="0"/>
    <s v="No"/>
    <m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m/>
    <s v="Yes"/>
    <n v="20"/>
    <n v="10"/>
    <n v="20"/>
  </r>
  <r>
    <n v="3354"/>
    <s v="Márcio Silva"/>
    <x v="1"/>
    <d v="2024-06-28T00:00:00"/>
    <x v="0"/>
    <n v="5"/>
    <x v="1"/>
    <s v="No"/>
    <m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m/>
    <s v="Yes"/>
    <n v="20"/>
    <n v="15"/>
    <n v="15"/>
  </r>
  <r>
    <n v="3357"/>
    <s v="Patricia Soares"/>
    <x v="1"/>
    <d v="2024-07-01T00:00:00"/>
    <x v="1"/>
    <n v="5"/>
    <x v="0"/>
    <s v="No"/>
    <m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m/>
    <s v="Yes"/>
    <n v="20"/>
    <n v="10"/>
    <n v="20"/>
  </r>
  <r>
    <n v="3360"/>
    <s v="Silvia Nascimento"/>
    <x v="1"/>
    <d v="2024-07-04T00:00:00"/>
    <x v="0"/>
    <n v="5"/>
    <x v="2"/>
    <s v="No"/>
    <m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m/>
    <s v="Yes"/>
    <n v="20"/>
    <n v="15"/>
    <n v="15"/>
  </r>
  <r>
    <n v="3363"/>
    <s v="Vanessa Moraes"/>
    <x v="1"/>
    <d v="2024-07-07T00:00:00"/>
    <x v="1"/>
    <n v="5"/>
    <x v="0"/>
    <s v="No"/>
    <m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m/>
    <s v="Yes"/>
    <n v="20"/>
    <n v="10"/>
    <n v="20"/>
  </r>
  <r>
    <n v="3366"/>
    <s v="Yolanda Freitas"/>
    <x v="1"/>
    <d v="2024-07-10T00:00:00"/>
    <x v="0"/>
    <n v="5"/>
    <x v="0"/>
    <s v="No"/>
    <m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m/>
    <s v="Yes"/>
    <n v="20"/>
    <n v="10"/>
    <n v="20"/>
  </r>
  <r>
    <n v="3369"/>
    <s v="Bruno Henrique"/>
    <x v="1"/>
    <d v="2024-07-13T00:00:00"/>
    <x v="1"/>
    <n v="5"/>
    <x v="2"/>
    <s v="No"/>
    <m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m/>
    <s v="Yes"/>
    <n v="20"/>
    <n v="5"/>
    <n v="25"/>
  </r>
  <r>
    <n v="3372"/>
    <s v="Elisa Neves"/>
    <x v="1"/>
    <d v="2024-07-16T00:00:00"/>
    <x v="0"/>
    <n v="5"/>
    <x v="1"/>
    <s v="No"/>
    <m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m/>
    <s v="Yes"/>
    <n v="20"/>
    <n v="12"/>
    <n v="18"/>
  </r>
  <r>
    <n v="3375"/>
    <s v="Héctor Silva"/>
    <x v="1"/>
    <d v="2024-07-19T00:00:00"/>
    <x v="1"/>
    <n v="5"/>
    <x v="0"/>
    <s v="No"/>
    <m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m/>
    <s v="Yes"/>
    <n v="20"/>
    <n v="10"/>
    <n v="20"/>
  </r>
  <r>
    <n v="3378"/>
    <s v="Kleber Machado"/>
    <x v="1"/>
    <d v="2024-07-22T00:00:00"/>
    <x v="0"/>
    <n v="5"/>
    <x v="2"/>
    <s v="No"/>
    <m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m/>
    <s v="Yes"/>
    <n v="20"/>
    <n v="15"/>
    <n v="15"/>
  </r>
  <r>
    <n v="3381"/>
    <s v="Natalia Costa"/>
    <x v="1"/>
    <d v="2024-07-25T00:00:00"/>
    <x v="1"/>
    <n v="5"/>
    <x v="0"/>
    <s v="No"/>
    <m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m/>
    <s v="Yes"/>
    <n v="20"/>
    <n v="10"/>
    <n v="20"/>
  </r>
  <r>
    <n v="3384"/>
    <s v="Quirino Junior"/>
    <x v="1"/>
    <d v="2024-07-28T00:00:00"/>
    <x v="0"/>
    <n v="5"/>
    <x v="1"/>
    <s v="No"/>
    <m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m/>
    <s v="Yes"/>
    <n v="20"/>
    <n v="15"/>
    <n v="15"/>
  </r>
  <r>
    <n v="3387"/>
    <s v="Tiago Nunes"/>
    <x v="1"/>
    <d v="2024-07-31T00:00:00"/>
    <x v="1"/>
    <n v="5"/>
    <x v="0"/>
    <s v="No"/>
    <m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m/>
    <s v="Yes"/>
    <n v="20"/>
    <n v="10"/>
    <n v="20"/>
  </r>
  <r>
    <n v="3390"/>
    <s v="Wagner Santos"/>
    <x v="1"/>
    <d v="2024-08-03T00:00:00"/>
    <x v="0"/>
    <n v="5"/>
    <x v="2"/>
    <s v="No"/>
    <m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m/>
    <s v="Yes"/>
    <n v="20"/>
    <n v="15"/>
    <n v="15"/>
  </r>
  <r>
    <n v="3393"/>
    <s v="Zacarias de Souza"/>
    <x v="1"/>
    <d v="2024-08-06T00:00:00"/>
    <x v="1"/>
    <n v="5"/>
    <x v="0"/>
    <s v="No"/>
    <m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m/>
    <s v="Yes"/>
    <n v="20"/>
    <n v="10"/>
    <n v="20"/>
  </r>
  <r>
    <n v="3396"/>
    <s v="Caio Mendes"/>
    <x v="1"/>
    <d v="2024-08-09T00:00:00"/>
    <x v="0"/>
    <n v="5"/>
    <x v="1"/>
    <s v="No"/>
    <m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m/>
    <s v="Yes"/>
    <n v="20"/>
    <n v="15"/>
    <n v="15"/>
  </r>
  <r>
    <n v="3399"/>
    <s v="Fernanda Gomes"/>
    <x v="1"/>
    <d v="2024-08-12T00:00:00"/>
    <x v="1"/>
    <n v="5"/>
    <x v="0"/>
    <s v="No"/>
    <m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m/>
    <s v="Yes"/>
    <n v="20"/>
    <n v="10"/>
    <n v="20"/>
  </r>
  <r>
    <n v="3402"/>
    <s v="Igor Santos"/>
    <x v="1"/>
    <d v="2024-08-15T00:00:00"/>
    <x v="0"/>
    <n v="5"/>
    <x v="2"/>
    <s v="No"/>
    <m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m/>
    <s v="Yes"/>
    <n v="20"/>
    <n v="15"/>
    <n v="15"/>
  </r>
  <r>
    <n v="3405"/>
    <s v="Lúcia Mendonça"/>
    <x v="1"/>
    <d v="2024-08-18T00:00:00"/>
    <x v="1"/>
    <n v="5"/>
    <x v="0"/>
    <s v="No"/>
    <m/>
    <s v="No"/>
    <n v="0"/>
    <n v="1"/>
    <n v="4"/>
  </r>
  <r>
    <n v="3406"/>
    <s v="Marcelo Novaes"/>
    <x v="1"/>
    <d v="2024-08-19T00:00:00"/>
    <x v="0"/>
    <n v="5"/>
    <x v="0"/>
    <s v="No"/>
    <m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m/>
    <s v="Yes"/>
    <n v="20"/>
    <n v="10"/>
    <n v="20"/>
  </r>
  <r>
    <n v="3409"/>
    <s v="Paulo Quintana"/>
    <x v="1"/>
    <d v="2024-08-22T00:00:00"/>
    <x v="1"/>
    <n v="5"/>
    <x v="2"/>
    <s v="No"/>
    <m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m/>
    <s v="Yes"/>
    <n v="20"/>
    <n v="5"/>
    <n v="25"/>
  </r>
  <r>
    <n v="3412"/>
    <s v="Tatiane Rocha"/>
    <x v="1"/>
    <d v="2024-08-25T00:00:00"/>
    <x v="0"/>
    <n v="5"/>
    <x v="1"/>
    <s v="No"/>
    <m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m/>
    <s v="Yes"/>
    <n v="20"/>
    <n v="12"/>
    <n v="18"/>
  </r>
  <r>
    <n v="3415"/>
    <s v="William Carvalho"/>
    <x v="1"/>
    <d v="2024-08-28T00:00:00"/>
    <x v="1"/>
    <n v="5"/>
    <x v="0"/>
    <s v="No"/>
    <m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m/>
    <s v="Yes"/>
    <n v="20"/>
    <n v="10"/>
    <n v="20"/>
  </r>
  <r>
    <n v="3418"/>
    <s v="Zacarias Costa"/>
    <x v="1"/>
    <d v="2024-08-31T00:00:00"/>
    <x v="0"/>
    <n v="5"/>
    <x v="2"/>
    <s v="No"/>
    <m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m/>
    <s v="Yes"/>
    <n v="20"/>
    <n v="15"/>
    <n v="15"/>
  </r>
  <r>
    <n v="3421"/>
    <s v="Caio Pereira"/>
    <x v="1"/>
    <d v="2024-09-03T00:00:00"/>
    <x v="1"/>
    <n v="5"/>
    <x v="0"/>
    <s v="No"/>
    <m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m/>
    <s v="Yes"/>
    <n v="20"/>
    <n v="10"/>
    <n v="20"/>
  </r>
  <r>
    <n v="3424"/>
    <s v="Fernanda Lima"/>
    <x v="1"/>
    <d v="2024-09-06T00:00:00"/>
    <x v="0"/>
    <n v="5"/>
    <x v="1"/>
    <s v="No"/>
    <m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m/>
    <s v="Yes"/>
    <n v="20"/>
    <n v="15"/>
    <n v="15"/>
  </r>
  <r>
    <n v="3427"/>
    <s v="Igor Mendes"/>
    <x v="1"/>
    <d v="2024-09-09T00:00:00"/>
    <x v="1"/>
    <n v="5"/>
    <x v="0"/>
    <s v="No"/>
    <m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m/>
    <s v="Yes"/>
    <n v="20"/>
    <n v="10"/>
    <n v="20"/>
  </r>
  <r>
    <n v="3430"/>
    <s v="Marcela Gouveia"/>
    <x v="1"/>
    <d v="2024-09-12T00:00:00"/>
    <x v="0"/>
    <n v="5"/>
    <x v="2"/>
    <s v="No"/>
    <m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m/>
    <s v="Yes"/>
    <n v="20"/>
    <n v="15"/>
    <n v="15"/>
  </r>
  <r>
    <n v="3433"/>
    <s v="Paulo Nogueira"/>
    <x v="1"/>
    <d v="2024-09-15T00:00:00"/>
    <x v="1"/>
    <n v="5"/>
    <x v="0"/>
    <s v="No"/>
    <m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m/>
    <s v="Yes"/>
    <n v="20"/>
    <n v="10"/>
    <n v="20"/>
  </r>
  <r>
    <n v="3436"/>
    <s v="Tiago Rodrigues"/>
    <x v="1"/>
    <d v="2024-09-18T00:00:00"/>
    <x v="0"/>
    <n v="5"/>
    <x v="0"/>
    <s v="No"/>
    <m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m/>
    <s v="Yes"/>
    <n v="20"/>
    <n v="10"/>
    <n v="20"/>
  </r>
  <r>
    <n v="3439"/>
    <s v="Walter Silva"/>
    <x v="1"/>
    <d v="2024-09-21T00:00:00"/>
    <x v="1"/>
    <n v="5"/>
    <x v="2"/>
    <s v="No"/>
    <m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m/>
    <s v="Yes"/>
    <n v="20"/>
    <n v="5"/>
    <n v="25"/>
  </r>
  <r>
    <n v="3442"/>
    <s v="Zacarias Almeida"/>
    <x v="1"/>
    <d v="2024-09-24T00:00:00"/>
    <x v="0"/>
    <n v="5"/>
    <x v="1"/>
    <s v="No"/>
    <m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m/>
    <s v="Yes"/>
    <n v="20"/>
    <n v="12"/>
    <n v="18"/>
  </r>
  <r>
    <n v="3445"/>
    <s v="Carla Dias"/>
    <x v="1"/>
    <d v="2024-09-27T00:00:00"/>
    <x v="1"/>
    <n v="5"/>
    <x v="0"/>
    <s v="No"/>
    <m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m/>
    <s v="Yes"/>
    <n v="20"/>
    <n v="10"/>
    <n v="20"/>
  </r>
  <r>
    <n v="3448"/>
    <s v="Fabiana Lima"/>
    <x v="1"/>
    <d v="2024-09-30T00:00:00"/>
    <x v="0"/>
    <n v="5"/>
    <x v="2"/>
    <s v="No"/>
    <m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m/>
    <s v="Yes"/>
    <n v="20"/>
    <n v="15"/>
    <n v="15"/>
  </r>
  <r>
    <n v="3451"/>
    <s v="Ígor Nunes"/>
    <x v="1"/>
    <d v="2024-10-03T00:00:00"/>
    <x v="1"/>
    <n v="5"/>
    <x v="0"/>
    <s v="No"/>
    <m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m/>
    <s v="Yes"/>
    <n v="20"/>
    <n v="10"/>
    <n v="20"/>
  </r>
  <r>
    <n v="3454"/>
    <s v="Luciana Morais"/>
    <x v="1"/>
    <d v="2024-10-06T00:00:00"/>
    <x v="0"/>
    <n v="5"/>
    <x v="1"/>
    <s v="No"/>
    <m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m/>
    <s v="Yes"/>
    <n v="20"/>
    <n v="15"/>
    <n v="15"/>
  </r>
  <r>
    <n v="3457"/>
    <s v="Oscar Sampaio"/>
    <x v="1"/>
    <d v="2024-10-09T00:00:00"/>
    <x v="1"/>
    <n v="5"/>
    <x v="0"/>
    <s v="No"/>
    <m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m/>
    <s v="Yes"/>
    <n v="20"/>
    <n v="10"/>
    <n v="20"/>
  </r>
  <r>
    <n v="3460"/>
    <s v="Rafael Torres"/>
    <x v="1"/>
    <d v="2024-10-12T00:00:00"/>
    <x v="0"/>
    <n v="5"/>
    <x v="2"/>
    <s v="No"/>
    <m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m/>
    <s v="Yes"/>
    <n v="20"/>
    <n v="15"/>
    <n v="15"/>
  </r>
  <r>
    <n v="3463"/>
    <s v="Ursula Fonseca"/>
    <x v="1"/>
    <d v="2024-10-15T00:00:00"/>
    <x v="1"/>
    <n v="5"/>
    <x v="0"/>
    <s v="No"/>
    <m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m/>
    <s v="Yes"/>
    <n v="20"/>
    <n v="10"/>
    <n v="20"/>
  </r>
  <r>
    <n v="3466"/>
    <s v="Xavier Monteiro"/>
    <x v="1"/>
    <d v="2024-10-18T00:00:00"/>
    <x v="0"/>
    <n v="5"/>
    <x v="1"/>
    <s v="No"/>
    <m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m/>
    <s v="Yes"/>
    <n v="20"/>
    <n v="12"/>
    <n v="18"/>
  </r>
  <r>
    <n v="3469"/>
    <s v="Amanda Menezes"/>
    <x v="1"/>
    <d v="2024-10-21T00:00:00"/>
    <x v="1"/>
    <n v="5"/>
    <x v="0"/>
    <s v="No"/>
    <m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m/>
    <s v="Yes"/>
    <n v="20"/>
    <n v="10"/>
    <n v="20"/>
  </r>
  <r>
    <n v="3472"/>
    <s v="Diogo Alves"/>
    <x v="1"/>
    <d v="2024-10-24T00:00:00"/>
    <x v="0"/>
    <n v="5"/>
    <x v="2"/>
    <s v="No"/>
    <m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m/>
    <s v="Yes"/>
    <n v="20"/>
    <n v="15"/>
    <n v="15"/>
  </r>
  <r>
    <n v="3475"/>
    <s v="Giovana Ribeiro"/>
    <x v="1"/>
    <d v="2024-10-27T00:00:00"/>
    <x v="1"/>
    <n v="5"/>
    <x v="0"/>
    <s v="No"/>
    <m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m/>
    <s v="Yes"/>
    <n v="20"/>
    <n v="10"/>
    <n v="20"/>
  </r>
  <r>
    <n v="3478"/>
    <s v="João Pereira"/>
    <x v="1"/>
    <d v="2024-10-30T00:00:00"/>
    <x v="0"/>
    <n v="5"/>
    <x v="1"/>
    <s v="No"/>
    <m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m/>
    <s v="Yes"/>
    <n v="20"/>
    <n v="15"/>
    <n v="15"/>
  </r>
  <r>
    <n v="3481"/>
    <s v="Marcos Gomes"/>
    <x v="1"/>
    <d v="2024-11-02T00:00:00"/>
    <x v="1"/>
    <n v="5"/>
    <x v="0"/>
    <s v="No"/>
    <m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m/>
    <s v="Yes"/>
    <n v="20"/>
    <n v="10"/>
    <n v="20"/>
  </r>
  <r>
    <n v="3484"/>
    <s v="Patrícia Lima"/>
    <x v="1"/>
    <d v="2024-11-05T00:00:00"/>
    <x v="0"/>
    <n v="5"/>
    <x v="2"/>
    <s v="No"/>
    <m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m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m/>
    <s v="Yes"/>
    <n v="20"/>
    <n v="10"/>
    <n v="20"/>
  </r>
  <r>
    <n v="3489"/>
    <s v="Ugo Dias"/>
    <x v="1"/>
    <d v="2024-11-10T00:00:00"/>
    <x v="1"/>
    <n v="5"/>
    <x v="2"/>
    <s v="No"/>
    <m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m/>
    <s v="Yes"/>
    <n v="20"/>
    <n v="5"/>
    <n v="25"/>
  </r>
  <r>
    <n v="3492"/>
    <s v="Xuxa Mendes"/>
    <x v="1"/>
    <d v="2024-11-13T00:00:00"/>
    <x v="0"/>
    <n v="5"/>
    <x v="1"/>
    <s v="No"/>
    <m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m/>
    <s v="Yes"/>
    <n v="20"/>
    <n v="12"/>
    <n v="18"/>
  </r>
  <r>
    <n v="3495"/>
    <s v="Amanda Santos"/>
    <x v="1"/>
    <d v="2024-11-16T00:00:00"/>
    <x v="1"/>
    <n v="5"/>
    <x v="0"/>
    <s v="No"/>
    <m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m/>
    <s v="Yes"/>
    <n v="20"/>
    <n v="10"/>
    <n v="20"/>
  </r>
  <r>
    <n v="3498"/>
    <s v="Diogo Pereira"/>
    <x v="1"/>
    <d v="2024-11-19T00:00:00"/>
    <x v="0"/>
    <n v="5"/>
    <x v="2"/>
    <s v="No"/>
    <m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m/>
    <s v="Yes"/>
    <n v="20"/>
    <n v="15"/>
    <n v="15"/>
  </r>
  <r>
    <n v="3501"/>
    <s v="Gabriela Neves"/>
    <x v="1"/>
    <d v="2024-11-22T00:00:00"/>
    <x v="1"/>
    <n v="5"/>
    <x v="0"/>
    <s v="No"/>
    <m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m/>
    <s v="Yes"/>
    <n v="20"/>
    <n v="10"/>
    <n v="20"/>
  </r>
  <r>
    <n v="3504"/>
    <s v="João Marcelo Alves"/>
    <x v="1"/>
    <d v="2024-11-25T00:00:00"/>
    <x v="0"/>
    <n v="5"/>
    <x v="1"/>
    <s v="No"/>
    <m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m/>
    <s v="Yes"/>
    <n v="20"/>
    <n v="15"/>
    <n v="15"/>
  </r>
  <r>
    <n v="3507"/>
    <s v="Marcela Torres"/>
    <x v="1"/>
    <d v="2024-11-28T00:00:00"/>
    <x v="1"/>
    <n v="5"/>
    <x v="0"/>
    <s v="No"/>
    <m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m/>
    <s v="Yes"/>
    <n v="20"/>
    <n v="10"/>
    <n v="20"/>
  </r>
  <r>
    <n v="3510"/>
    <s v="Patrícia Oliveira"/>
    <x v="1"/>
    <d v="2024-12-01T00:00:00"/>
    <x v="0"/>
    <n v="5"/>
    <x v="2"/>
    <s v="No"/>
    <m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m/>
    <s v="Yes"/>
    <n v="20"/>
    <n v="15"/>
    <n v="15"/>
  </r>
  <r>
    <n v="3513"/>
    <s v="Sandro Gomes"/>
    <x v="1"/>
    <d v="2024-12-04T00:00:00"/>
    <x v="1"/>
    <n v="5"/>
    <x v="0"/>
    <s v="No"/>
    <m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m/>
    <s v="Yes"/>
    <n v="20"/>
    <n v="10"/>
    <n v="20"/>
  </r>
  <r>
    <n v="3516"/>
    <s v="Vanessa Moraes"/>
    <x v="1"/>
    <d v="2024-12-07T00:00:00"/>
    <x v="0"/>
    <n v="5"/>
    <x v="1"/>
    <s v="No"/>
    <m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m/>
    <s v="Yes"/>
    <n v="20"/>
    <n v="12"/>
    <n v="18"/>
  </r>
  <r>
    <n v="3519"/>
    <s v="Yasmin Rocha"/>
    <x v="1"/>
    <d v="2024-12-10T00:00:00"/>
    <x v="1"/>
    <n v="5"/>
    <x v="0"/>
    <s v="No"/>
    <m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m/>
    <s v="Yes"/>
    <n v="20"/>
    <n v="10"/>
    <n v="20"/>
  </r>
  <r>
    <n v="3522"/>
    <s v="Bruno Almeida"/>
    <x v="1"/>
    <d v="2024-12-13T00:00:00"/>
    <x v="0"/>
    <n v="5"/>
    <x v="2"/>
    <s v="No"/>
    <m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m/>
    <s v="Yes"/>
    <n v="20"/>
    <n v="15"/>
    <n v="15"/>
  </r>
  <r>
    <n v="3525"/>
    <s v="Elisa Magalhães"/>
    <x v="1"/>
    <d v="2024-12-16T00:00:00"/>
    <x v="1"/>
    <n v="5"/>
    <x v="0"/>
    <s v="No"/>
    <m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7A794-8646-41D8-85EB-49DA0DF94AC3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9:K1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CAC15-3AC6-4B28-BCF5-1F5D909C60E1}" name="Tabela dinâmica4" cacheId="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>
  <location ref="F11:G1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7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1E843-DF0D-4061-8F5F-3EEB57A07A2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FC283-E20D-48B5-A88D-0146066639BD}" name="Tabela dinâmica7" cacheId="0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6">
  <location ref="J24:K2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7215F-CDF2-42E5-B2E5-CBC432047C14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5:G26" firstHeaderRow="0" firstDataRow="1" firstDataCol="0" rowPageCount="1" colPageCount="1"/>
  <pivotFields count="13">
    <pivotField dataField="1"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Total Value" fld="12" baseField="0" baseItem="0" numFmtId="7"/>
    <dataField name="Contagem de Subscriber ID" fld="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A090D78-E1F4-4755-A758-4B4CEB8B14DC}" sourceName="Subscription Type">
  <pivotTables>
    <pivotTable tabId="3" name="Tabela dinâmica2"/>
    <pivotTable tabId="3" name="Tabela dinâmica4"/>
    <pivotTable tabId="3" name="Tabela dinâmica5"/>
    <pivotTable tabId="3" name="Tabela dinâmica6"/>
    <pivotTable tabId="3" name="Tabela dinâmica7"/>
  </pivotTables>
  <data>
    <tabular pivotCacheId="73865438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AFEC65B-89A7-4042-91A4-5C7B61F11920}" cache="SegmentaçãodeDados_Subscription_Type" caption="Subscription Type" style="SlicerStyleDark6" rowHeight="257588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_base" displayName="tb_base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G30" sqref="G30"/>
    </sheetView>
  </sheetViews>
  <sheetFormatPr defaultRowHeight="15.05" x14ac:dyDescent="0.3"/>
  <cols>
    <col min="9" max="9" width="3.5546875" customWidth="1"/>
    <col min="12" max="12" width="17.33203125" customWidth="1"/>
  </cols>
  <sheetData>
    <row r="3" spans="2:16" ht="20.7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.6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7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6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G30" sqref="G30"/>
    </sheetView>
  </sheetViews>
  <sheetFormatPr defaultRowHeight="15.05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style="18" bestFit="1" customWidth="1"/>
    <col min="7" max="7" width="22" bestFit="1" customWidth="1"/>
    <col min="8" max="8" width="20.5546875" bestFit="1" customWidth="1"/>
    <col min="9" max="9" width="20.5546875" style="18" customWidth="1"/>
    <col min="10" max="10" width="16.6640625" bestFit="1" customWidth="1"/>
    <col min="11" max="11" width="21.33203125" style="18" bestFit="1" customWidth="1"/>
    <col min="12" max="12" width="12.6640625" style="18" bestFit="1" customWidth="1"/>
    <col min="13" max="13" width="10.5546875" style="18" bestFit="1" customWidth="1"/>
  </cols>
  <sheetData>
    <row r="1" spans="1:13" ht="30.05" x14ac:dyDescent="0.3">
      <c r="A1" s="9" t="s">
        <v>11</v>
      </c>
      <c r="B1" s="9" t="s">
        <v>12</v>
      </c>
      <c r="C1" s="9" t="s">
        <v>13</v>
      </c>
      <c r="D1" s="12" t="s">
        <v>14</v>
      </c>
      <c r="E1" s="9" t="s">
        <v>15</v>
      </c>
      <c r="F1" s="11" t="s">
        <v>311</v>
      </c>
      <c r="G1" s="9" t="s">
        <v>16</v>
      </c>
      <c r="H1" s="9" t="s">
        <v>309</v>
      </c>
      <c r="I1" s="11" t="s">
        <v>310</v>
      </c>
      <c r="J1" s="9" t="s">
        <v>30</v>
      </c>
      <c r="K1" s="11" t="s">
        <v>31</v>
      </c>
      <c r="L1" s="11" t="s">
        <v>32</v>
      </c>
      <c r="M1" s="11" t="s">
        <v>33</v>
      </c>
    </row>
    <row r="2" spans="1:13" ht="58.8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7">
        <v>15</v>
      </c>
      <c r="G2" s="8" t="s">
        <v>20</v>
      </c>
      <c r="H2" s="8" t="s">
        <v>19</v>
      </c>
      <c r="I2" s="17">
        <v>30</v>
      </c>
      <c r="J2" s="8" t="s">
        <v>19</v>
      </c>
      <c r="K2" s="17">
        <v>20</v>
      </c>
      <c r="L2" s="17">
        <v>5</v>
      </c>
      <c r="M2" s="17">
        <v>60</v>
      </c>
    </row>
    <row r="3" spans="1:13" ht="16.4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7">
        <v>5</v>
      </c>
      <c r="G3" s="8" t="s">
        <v>24</v>
      </c>
      <c r="H3" s="8" t="s">
        <v>23</v>
      </c>
      <c r="I3" s="17"/>
      <c r="J3" s="8" t="s">
        <v>23</v>
      </c>
      <c r="K3" s="17">
        <v>0</v>
      </c>
      <c r="L3" s="17">
        <v>0</v>
      </c>
      <c r="M3" s="17">
        <v>5</v>
      </c>
    </row>
    <row r="4" spans="1:13" ht="16.4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7">
        <v>10</v>
      </c>
      <c r="G4" s="8" t="s">
        <v>27</v>
      </c>
      <c r="H4" s="8" t="s">
        <v>23</v>
      </c>
      <c r="I4" s="17"/>
      <c r="J4" s="8" t="s">
        <v>19</v>
      </c>
      <c r="K4" s="17">
        <v>20</v>
      </c>
      <c r="L4" s="17">
        <v>10</v>
      </c>
      <c r="M4" s="17">
        <v>20</v>
      </c>
    </row>
    <row r="5" spans="1:13" ht="16.4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7">
        <v>15</v>
      </c>
      <c r="G5" s="8" t="s">
        <v>20</v>
      </c>
      <c r="H5" s="8" t="s">
        <v>19</v>
      </c>
      <c r="I5" s="17">
        <v>30</v>
      </c>
      <c r="J5" s="8" t="s">
        <v>19</v>
      </c>
      <c r="K5" s="17">
        <v>20</v>
      </c>
      <c r="L5" s="17">
        <v>3</v>
      </c>
      <c r="M5" s="17">
        <v>62</v>
      </c>
    </row>
    <row r="6" spans="1:13" ht="16.4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7">
        <v>5</v>
      </c>
      <c r="G6" s="8" t="s">
        <v>20</v>
      </c>
      <c r="H6" s="8" t="s">
        <v>23</v>
      </c>
      <c r="I6" s="17"/>
      <c r="J6" s="8" t="s">
        <v>23</v>
      </c>
      <c r="K6" s="17">
        <v>0</v>
      </c>
      <c r="L6" s="17">
        <v>1</v>
      </c>
      <c r="M6" s="17">
        <v>4</v>
      </c>
    </row>
    <row r="7" spans="1:13" ht="16.4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7">
        <v>10</v>
      </c>
      <c r="G7" s="8" t="s">
        <v>20</v>
      </c>
      <c r="H7" s="8" t="s">
        <v>23</v>
      </c>
      <c r="I7" s="17"/>
      <c r="J7" s="8" t="s">
        <v>19</v>
      </c>
      <c r="K7" s="17">
        <v>20</v>
      </c>
      <c r="L7" s="17">
        <v>2</v>
      </c>
      <c r="M7" s="17">
        <v>28</v>
      </c>
    </row>
    <row r="8" spans="1:13" ht="16.4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7">
        <v>15</v>
      </c>
      <c r="G8" s="8" t="s">
        <v>27</v>
      </c>
      <c r="H8" s="8" t="s">
        <v>19</v>
      </c>
      <c r="I8" s="17">
        <v>30</v>
      </c>
      <c r="J8" s="8" t="s">
        <v>19</v>
      </c>
      <c r="K8" s="17">
        <v>20</v>
      </c>
      <c r="L8" s="17">
        <v>10</v>
      </c>
      <c r="M8" s="17">
        <v>55</v>
      </c>
    </row>
    <row r="9" spans="1:13" ht="16.4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7">
        <v>5</v>
      </c>
      <c r="G9" s="8" t="s">
        <v>24</v>
      </c>
      <c r="H9" s="8" t="s">
        <v>23</v>
      </c>
      <c r="I9" s="17"/>
      <c r="J9" s="8" t="s">
        <v>23</v>
      </c>
      <c r="K9" s="17">
        <v>0</v>
      </c>
      <c r="L9" s="17">
        <v>0</v>
      </c>
      <c r="M9" s="17">
        <v>5</v>
      </c>
    </row>
    <row r="10" spans="1:13" ht="16.4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7">
        <v>15</v>
      </c>
      <c r="G10" s="8" t="s">
        <v>20</v>
      </c>
      <c r="H10" s="8" t="s">
        <v>19</v>
      </c>
      <c r="I10" s="17">
        <v>30</v>
      </c>
      <c r="J10" s="8" t="s">
        <v>19</v>
      </c>
      <c r="K10" s="17">
        <v>20</v>
      </c>
      <c r="L10" s="17">
        <v>5</v>
      </c>
      <c r="M10" s="17">
        <v>60</v>
      </c>
    </row>
    <row r="11" spans="1:13" ht="16.4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7">
        <v>10</v>
      </c>
      <c r="G11" s="8" t="s">
        <v>27</v>
      </c>
      <c r="H11" s="8" t="s">
        <v>23</v>
      </c>
      <c r="I11" s="17"/>
      <c r="J11" s="8" t="s">
        <v>19</v>
      </c>
      <c r="K11" s="17">
        <v>20</v>
      </c>
      <c r="L11" s="17">
        <v>15</v>
      </c>
      <c r="M11" s="17">
        <v>15</v>
      </c>
    </row>
    <row r="12" spans="1:13" ht="16.4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7">
        <v>5</v>
      </c>
      <c r="G12" s="8" t="s">
        <v>20</v>
      </c>
      <c r="H12" s="8" t="s">
        <v>23</v>
      </c>
      <c r="I12" s="17"/>
      <c r="J12" s="8" t="s">
        <v>23</v>
      </c>
      <c r="K12" s="17">
        <v>0</v>
      </c>
      <c r="L12" s="17">
        <v>1</v>
      </c>
      <c r="M12" s="17">
        <v>4</v>
      </c>
    </row>
    <row r="13" spans="1:13" ht="16.4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7">
        <v>15</v>
      </c>
      <c r="G13" s="8" t="s">
        <v>24</v>
      </c>
      <c r="H13" s="8" t="s">
        <v>19</v>
      </c>
      <c r="I13" s="17">
        <v>30</v>
      </c>
      <c r="J13" s="8" t="s">
        <v>19</v>
      </c>
      <c r="K13" s="17">
        <v>20</v>
      </c>
      <c r="L13" s="17">
        <v>20</v>
      </c>
      <c r="M13" s="17">
        <v>45</v>
      </c>
    </row>
    <row r="14" spans="1:13" ht="16.4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7">
        <v>10</v>
      </c>
      <c r="G14" s="8" t="s">
        <v>20</v>
      </c>
      <c r="H14" s="8" t="s">
        <v>23</v>
      </c>
      <c r="I14" s="17"/>
      <c r="J14" s="8" t="s">
        <v>19</v>
      </c>
      <c r="K14" s="17">
        <v>20</v>
      </c>
      <c r="L14" s="17">
        <v>10</v>
      </c>
      <c r="M14" s="17">
        <v>20</v>
      </c>
    </row>
    <row r="15" spans="1:13" ht="16.4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7">
        <v>5</v>
      </c>
      <c r="G15" s="8" t="s">
        <v>27</v>
      </c>
      <c r="H15" s="8" t="s">
        <v>23</v>
      </c>
      <c r="I15" s="17"/>
      <c r="J15" s="8" t="s">
        <v>23</v>
      </c>
      <c r="K15" s="17">
        <v>0</v>
      </c>
      <c r="L15" s="17">
        <v>0</v>
      </c>
      <c r="M15" s="17">
        <v>5</v>
      </c>
    </row>
    <row r="16" spans="1:13" ht="16.4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7">
        <v>15</v>
      </c>
      <c r="G16" s="8" t="s">
        <v>20</v>
      </c>
      <c r="H16" s="8" t="s">
        <v>19</v>
      </c>
      <c r="I16" s="17">
        <v>30</v>
      </c>
      <c r="J16" s="8" t="s">
        <v>19</v>
      </c>
      <c r="K16" s="17">
        <v>20</v>
      </c>
      <c r="L16" s="17">
        <v>8</v>
      </c>
      <c r="M16" s="17">
        <v>57</v>
      </c>
    </row>
    <row r="17" spans="1:13" ht="16.4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7">
        <v>10</v>
      </c>
      <c r="G17" s="8" t="s">
        <v>24</v>
      </c>
      <c r="H17" s="8" t="s">
        <v>23</v>
      </c>
      <c r="I17" s="17"/>
      <c r="J17" s="8" t="s">
        <v>19</v>
      </c>
      <c r="K17" s="17">
        <v>20</v>
      </c>
      <c r="L17" s="17">
        <v>12</v>
      </c>
      <c r="M17" s="17">
        <v>18</v>
      </c>
    </row>
    <row r="18" spans="1:13" ht="16.4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7">
        <v>5</v>
      </c>
      <c r="G18" s="8" t="s">
        <v>20</v>
      </c>
      <c r="H18" s="8" t="s">
        <v>23</v>
      </c>
      <c r="I18" s="17"/>
      <c r="J18" s="8" t="s">
        <v>23</v>
      </c>
      <c r="K18" s="17">
        <v>0</v>
      </c>
      <c r="L18" s="17">
        <v>2</v>
      </c>
      <c r="M18" s="17">
        <v>3</v>
      </c>
    </row>
    <row r="19" spans="1:13" ht="16.4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7">
        <v>15</v>
      </c>
      <c r="G19" s="8" t="s">
        <v>27</v>
      </c>
      <c r="H19" s="8" t="s">
        <v>19</v>
      </c>
      <c r="I19" s="17">
        <v>30</v>
      </c>
      <c r="J19" s="8" t="s">
        <v>19</v>
      </c>
      <c r="K19" s="17">
        <v>20</v>
      </c>
      <c r="L19" s="17">
        <v>7</v>
      </c>
      <c r="M19" s="17">
        <v>58</v>
      </c>
    </row>
    <row r="20" spans="1:13" ht="16.4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7">
        <v>10</v>
      </c>
      <c r="G20" s="8" t="s">
        <v>20</v>
      </c>
      <c r="H20" s="8" t="s">
        <v>23</v>
      </c>
      <c r="I20" s="17"/>
      <c r="J20" s="8" t="s">
        <v>19</v>
      </c>
      <c r="K20" s="17">
        <v>20</v>
      </c>
      <c r="L20" s="17">
        <v>5</v>
      </c>
      <c r="M20" s="17">
        <v>25</v>
      </c>
    </row>
    <row r="21" spans="1:13" ht="16.4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7">
        <v>5</v>
      </c>
      <c r="G21" s="8" t="s">
        <v>24</v>
      </c>
      <c r="H21" s="8" t="s">
        <v>23</v>
      </c>
      <c r="I21" s="17"/>
      <c r="J21" s="8" t="s">
        <v>23</v>
      </c>
      <c r="K21" s="17">
        <v>0</v>
      </c>
      <c r="L21" s="17">
        <v>0</v>
      </c>
      <c r="M21" s="17">
        <v>5</v>
      </c>
    </row>
    <row r="22" spans="1:13" ht="16.4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7">
        <v>15</v>
      </c>
      <c r="G22" s="8" t="s">
        <v>20</v>
      </c>
      <c r="H22" s="8" t="s">
        <v>19</v>
      </c>
      <c r="I22" s="17">
        <v>30</v>
      </c>
      <c r="J22" s="8" t="s">
        <v>19</v>
      </c>
      <c r="K22" s="17">
        <v>20</v>
      </c>
      <c r="L22" s="17">
        <v>3</v>
      </c>
      <c r="M22" s="17">
        <v>62</v>
      </c>
    </row>
    <row r="23" spans="1:13" ht="16.4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7">
        <v>10</v>
      </c>
      <c r="G23" s="8" t="s">
        <v>27</v>
      </c>
      <c r="H23" s="8" t="s">
        <v>23</v>
      </c>
      <c r="I23" s="17"/>
      <c r="J23" s="8" t="s">
        <v>19</v>
      </c>
      <c r="K23" s="17">
        <v>20</v>
      </c>
      <c r="L23" s="17">
        <v>15</v>
      </c>
      <c r="M23" s="17">
        <v>15</v>
      </c>
    </row>
    <row r="24" spans="1:13" ht="16.4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7">
        <v>5</v>
      </c>
      <c r="G24" s="8" t="s">
        <v>20</v>
      </c>
      <c r="H24" s="8" t="s">
        <v>23</v>
      </c>
      <c r="I24" s="17"/>
      <c r="J24" s="8" t="s">
        <v>23</v>
      </c>
      <c r="K24" s="17">
        <v>0</v>
      </c>
      <c r="L24" s="17">
        <v>1</v>
      </c>
      <c r="M24" s="17">
        <v>4</v>
      </c>
    </row>
    <row r="25" spans="1:13" ht="16.4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7">
        <v>15</v>
      </c>
      <c r="G25" s="8" t="s">
        <v>24</v>
      </c>
      <c r="H25" s="8" t="s">
        <v>19</v>
      </c>
      <c r="I25" s="17">
        <v>30</v>
      </c>
      <c r="J25" s="8" t="s">
        <v>19</v>
      </c>
      <c r="K25" s="17">
        <v>20</v>
      </c>
      <c r="L25" s="17">
        <v>20</v>
      </c>
      <c r="M25" s="17">
        <v>45</v>
      </c>
    </row>
    <row r="26" spans="1:13" ht="16.4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7">
        <v>10</v>
      </c>
      <c r="G26" s="8" t="s">
        <v>20</v>
      </c>
      <c r="H26" s="8" t="s">
        <v>23</v>
      </c>
      <c r="I26" s="17"/>
      <c r="J26" s="8" t="s">
        <v>19</v>
      </c>
      <c r="K26" s="17">
        <v>20</v>
      </c>
      <c r="L26" s="17">
        <v>10</v>
      </c>
      <c r="M26" s="17">
        <v>20</v>
      </c>
    </row>
    <row r="27" spans="1:13" ht="16.4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7">
        <v>5</v>
      </c>
      <c r="G27" s="8" t="s">
        <v>27</v>
      </c>
      <c r="H27" s="8" t="s">
        <v>23</v>
      </c>
      <c r="I27" s="17"/>
      <c r="J27" s="8" t="s">
        <v>23</v>
      </c>
      <c r="K27" s="17">
        <v>0</v>
      </c>
      <c r="L27" s="17">
        <v>0</v>
      </c>
      <c r="M27" s="17">
        <v>5</v>
      </c>
    </row>
    <row r="28" spans="1:13" ht="16.4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7">
        <v>15</v>
      </c>
      <c r="G28" s="8" t="s">
        <v>20</v>
      </c>
      <c r="H28" s="8" t="s">
        <v>19</v>
      </c>
      <c r="I28" s="17">
        <v>30</v>
      </c>
      <c r="J28" s="8" t="s">
        <v>19</v>
      </c>
      <c r="K28" s="17">
        <v>20</v>
      </c>
      <c r="L28" s="17">
        <v>5</v>
      </c>
      <c r="M28" s="17">
        <v>60</v>
      </c>
    </row>
    <row r="29" spans="1:13" ht="16.4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7">
        <v>10</v>
      </c>
      <c r="G29" s="8" t="s">
        <v>24</v>
      </c>
      <c r="H29" s="8" t="s">
        <v>23</v>
      </c>
      <c r="I29" s="17"/>
      <c r="J29" s="8" t="s">
        <v>19</v>
      </c>
      <c r="K29" s="17">
        <v>20</v>
      </c>
      <c r="L29" s="17">
        <v>15</v>
      </c>
      <c r="M29" s="17">
        <v>15</v>
      </c>
    </row>
    <row r="30" spans="1:13" ht="16.4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7">
        <v>5</v>
      </c>
      <c r="G30" s="8" t="s">
        <v>20</v>
      </c>
      <c r="H30" s="8" t="s">
        <v>23</v>
      </c>
      <c r="I30" s="17"/>
      <c r="J30" s="8" t="s">
        <v>23</v>
      </c>
      <c r="K30" s="17">
        <v>0</v>
      </c>
      <c r="L30" s="17">
        <v>1</v>
      </c>
      <c r="M30" s="17">
        <v>4</v>
      </c>
    </row>
    <row r="31" spans="1:13" ht="16.4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7">
        <v>15</v>
      </c>
      <c r="G31" s="8" t="s">
        <v>27</v>
      </c>
      <c r="H31" s="8" t="s">
        <v>19</v>
      </c>
      <c r="I31" s="17">
        <v>30</v>
      </c>
      <c r="J31" s="8" t="s">
        <v>19</v>
      </c>
      <c r="K31" s="17">
        <v>20</v>
      </c>
      <c r="L31" s="17">
        <v>7</v>
      </c>
      <c r="M31" s="17">
        <v>58</v>
      </c>
    </row>
    <row r="32" spans="1:13" ht="16.4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7">
        <v>10</v>
      </c>
      <c r="G32" s="8" t="s">
        <v>20</v>
      </c>
      <c r="H32" s="8" t="s">
        <v>23</v>
      </c>
      <c r="I32" s="17"/>
      <c r="J32" s="8" t="s">
        <v>19</v>
      </c>
      <c r="K32" s="17">
        <v>20</v>
      </c>
      <c r="L32" s="17">
        <v>10</v>
      </c>
      <c r="M32" s="17">
        <v>20</v>
      </c>
    </row>
    <row r="33" spans="1:13" ht="16.4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7">
        <v>5</v>
      </c>
      <c r="G33" s="8" t="s">
        <v>24</v>
      </c>
      <c r="H33" s="8" t="s">
        <v>23</v>
      </c>
      <c r="I33" s="17"/>
      <c r="J33" s="8" t="s">
        <v>23</v>
      </c>
      <c r="K33" s="17">
        <v>0</v>
      </c>
      <c r="L33" s="17">
        <v>0</v>
      </c>
      <c r="M33" s="17">
        <v>5</v>
      </c>
    </row>
    <row r="34" spans="1:13" ht="16.4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7">
        <v>15</v>
      </c>
      <c r="G34" s="8" t="s">
        <v>20</v>
      </c>
      <c r="H34" s="8" t="s">
        <v>19</v>
      </c>
      <c r="I34" s="17">
        <v>30</v>
      </c>
      <c r="J34" s="8" t="s">
        <v>19</v>
      </c>
      <c r="K34" s="17">
        <v>20</v>
      </c>
      <c r="L34" s="17">
        <v>3</v>
      </c>
      <c r="M34" s="17">
        <v>62</v>
      </c>
    </row>
    <row r="35" spans="1:13" ht="16.4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7">
        <v>10</v>
      </c>
      <c r="G35" s="8" t="s">
        <v>27</v>
      </c>
      <c r="H35" s="8" t="s">
        <v>23</v>
      </c>
      <c r="I35" s="17"/>
      <c r="J35" s="8" t="s">
        <v>19</v>
      </c>
      <c r="K35" s="17">
        <v>20</v>
      </c>
      <c r="L35" s="17">
        <v>15</v>
      </c>
      <c r="M35" s="17">
        <v>15</v>
      </c>
    </row>
    <row r="36" spans="1:13" ht="16.4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7">
        <v>5</v>
      </c>
      <c r="G36" s="8" t="s">
        <v>20</v>
      </c>
      <c r="H36" s="8" t="s">
        <v>23</v>
      </c>
      <c r="I36" s="17"/>
      <c r="J36" s="8" t="s">
        <v>23</v>
      </c>
      <c r="K36" s="17">
        <v>0</v>
      </c>
      <c r="L36" s="17">
        <v>1</v>
      </c>
      <c r="M36" s="17">
        <v>4</v>
      </c>
    </row>
    <row r="37" spans="1:13" ht="16.4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7">
        <v>5</v>
      </c>
      <c r="G37" s="8" t="s">
        <v>20</v>
      </c>
      <c r="H37" s="8" t="s">
        <v>23</v>
      </c>
      <c r="I37" s="17"/>
      <c r="J37" s="8" t="s">
        <v>23</v>
      </c>
      <c r="K37" s="17">
        <v>0</v>
      </c>
      <c r="L37" s="17">
        <v>0</v>
      </c>
      <c r="M37" s="17">
        <v>5</v>
      </c>
    </row>
    <row r="38" spans="1:13" ht="16.4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7">
        <v>15</v>
      </c>
      <c r="G38" s="8" t="s">
        <v>27</v>
      </c>
      <c r="H38" s="8" t="s">
        <v>19</v>
      </c>
      <c r="I38" s="17">
        <v>30</v>
      </c>
      <c r="J38" s="8" t="s">
        <v>19</v>
      </c>
      <c r="K38" s="17">
        <v>20</v>
      </c>
      <c r="L38" s="17">
        <v>7</v>
      </c>
      <c r="M38" s="17">
        <v>58</v>
      </c>
    </row>
    <row r="39" spans="1:13" ht="16.4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7">
        <v>10</v>
      </c>
      <c r="G39" s="8" t="s">
        <v>24</v>
      </c>
      <c r="H39" s="8" t="s">
        <v>23</v>
      </c>
      <c r="I39" s="17"/>
      <c r="J39" s="8" t="s">
        <v>19</v>
      </c>
      <c r="K39" s="17">
        <v>20</v>
      </c>
      <c r="L39" s="17">
        <v>10</v>
      </c>
      <c r="M39" s="17">
        <v>20</v>
      </c>
    </row>
    <row r="40" spans="1:13" ht="16.4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7">
        <v>5</v>
      </c>
      <c r="G40" s="8" t="s">
        <v>27</v>
      </c>
      <c r="H40" s="8" t="s">
        <v>23</v>
      </c>
      <c r="I40" s="17"/>
      <c r="J40" s="8" t="s">
        <v>23</v>
      </c>
      <c r="K40" s="17">
        <v>0</v>
      </c>
      <c r="L40" s="17">
        <v>1</v>
      </c>
      <c r="M40" s="17">
        <v>4</v>
      </c>
    </row>
    <row r="41" spans="1:13" ht="16.4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7">
        <v>15</v>
      </c>
      <c r="G41" s="8" t="s">
        <v>20</v>
      </c>
      <c r="H41" s="8" t="s">
        <v>19</v>
      </c>
      <c r="I41" s="17">
        <v>30</v>
      </c>
      <c r="J41" s="8" t="s">
        <v>19</v>
      </c>
      <c r="K41" s="17">
        <v>20</v>
      </c>
      <c r="L41" s="17">
        <v>15</v>
      </c>
      <c r="M41" s="17">
        <v>50</v>
      </c>
    </row>
    <row r="42" spans="1:13" ht="16.4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7">
        <v>10</v>
      </c>
      <c r="G42" s="8" t="s">
        <v>20</v>
      </c>
      <c r="H42" s="8" t="s">
        <v>23</v>
      </c>
      <c r="I42" s="17"/>
      <c r="J42" s="8" t="s">
        <v>19</v>
      </c>
      <c r="K42" s="17">
        <v>20</v>
      </c>
      <c r="L42" s="17">
        <v>5</v>
      </c>
      <c r="M42" s="17">
        <v>25</v>
      </c>
    </row>
    <row r="43" spans="1:13" ht="16.4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7">
        <v>5</v>
      </c>
      <c r="G43" s="8" t="s">
        <v>24</v>
      </c>
      <c r="H43" s="8" t="s">
        <v>23</v>
      </c>
      <c r="I43" s="17"/>
      <c r="J43" s="8" t="s">
        <v>23</v>
      </c>
      <c r="K43" s="17">
        <v>0</v>
      </c>
      <c r="L43" s="17">
        <v>0</v>
      </c>
      <c r="M43" s="17">
        <v>5</v>
      </c>
    </row>
    <row r="44" spans="1:13" ht="16.4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7">
        <v>15</v>
      </c>
      <c r="G44" s="8" t="s">
        <v>27</v>
      </c>
      <c r="H44" s="8" t="s">
        <v>19</v>
      </c>
      <c r="I44" s="17">
        <v>30</v>
      </c>
      <c r="J44" s="8" t="s">
        <v>19</v>
      </c>
      <c r="K44" s="17">
        <v>20</v>
      </c>
      <c r="L44" s="17">
        <v>20</v>
      </c>
      <c r="M44" s="17">
        <v>45</v>
      </c>
    </row>
    <row r="45" spans="1:13" ht="16.4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7">
        <v>10</v>
      </c>
      <c r="G45" s="8" t="s">
        <v>27</v>
      </c>
      <c r="H45" s="8" t="s">
        <v>23</v>
      </c>
      <c r="I45" s="17"/>
      <c r="J45" s="8" t="s">
        <v>19</v>
      </c>
      <c r="K45" s="17">
        <v>20</v>
      </c>
      <c r="L45" s="17">
        <v>12</v>
      </c>
      <c r="M45" s="17">
        <v>18</v>
      </c>
    </row>
    <row r="46" spans="1:13" ht="16.4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7">
        <v>5</v>
      </c>
      <c r="G46" s="8" t="s">
        <v>20</v>
      </c>
      <c r="H46" s="8" t="s">
        <v>23</v>
      </c>
      <c r="I46" s="17"/>
      <c r="J46" s="8" t="s">
        <v>23</v>
      </c>
      <c r="K46" s="17">
        <v>0</v>
      </c>
      <c r="L46" s="17">
        <v>2</v>
      </c>
      <c r="M46" s="17">
        <v>3</v>
      </c>
    </row>
    <row r="47" spans="1:13" ht="16.4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7">
        <v>15</v>
      </c>
      <c r="G47" s="8" t="s">
        <v>24</v>
      </c>
      <c r="H47" s="8" t="s">
        <v>19</v>
      </c>
      <c r="I47" s="17">
        <v>30</v>
      </c>
      <c r="J47" s="8" t="s">
        <v>19</v>
      </c>
      <c r="K47" s="17">
        <v>20</v>
      </c>
      <c r="L47" s="17">
        <v>5</v>
      </c>
      <c r="M47" s="17">
        <v>60</v>
      </c>
    </row>
    <row r="48" spans="1:13" ht="16.4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7">
        <v>10</v>
      </c>
      <c r="G48" s="8" t="s">
        <v>20</v>
      </c>
      <c r="H48" s="8" t="s">
        <v>23</v>
      </c>
      <c r="I48" s="17"/>
      <c r="J48" s="8" t="s">
        <v>19</v>
      </c>
      <c r="K48" s="17">
        <v>20</v>
      </c>
      <c r="L48" s="17">
        <v>10</v>
      </c>
      <c r="M48" s="17">
        <v>20</v>
      </c>
    </row>
    <row r="49" spans="1:13" ht="16.4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7">
        <v>5</v>
      </c>
      <c r="G49" s="8" t="s">
        <v>27</v>
      </c>
      <c r="H49" s="8" t="s">
        <v>23</v>
      </c>
      <c r="I49" s="17"/>
      <c r="J49" s="8" t="s">
        <v>23</v>
      </c>
      <c r="K49" s="17">
        <v>0</v>
      </c>
      <c r="L49" s="17">
        <v>0</v>
      </c>
      <c r="M49" s="17">
        <v>5</v>
      </c>
    </row>
    <row r="50" spans="1:13" ht="16.4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7">
        <v>15</v>
      </c>
      <c r="G50" s="8" t="s">
        <v>20</v>
      </c>
      <c r="H50" s="8" t="s">
        <v>19</v>
      </c>
      <c r="I50" s="17">
        <v>30</v>
      </c>
      <c r="J50" s="8" t="s">
        <v>19</v>
      </c>
      <c r="K50" s="17">
        <v>20</v>
      </c>
      <c r="L50" s="17">
        <v>3</v>
      </c>
      <c r="M50" s="17">
        <v>62</v>
      </c>
    </row>
    <row r="51" spans="1:13" ht="16.4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7">
        <v>10</v>
      </c>
      <c r="G51" s="8" t="s">
        <v>24</v>
      </c>
      <c r="H51" s="8" t="s">
        <v>23</v>
      </c>
      <c r="I51" s="17"/>
      <c r="J51" s="8" t="s">
        <v>19</v>
      </c>
      <c r="K51" s="17">
        <v>20</v>
      </c>
      <c r="L51" s="17">
        <v>15</v>
      </c>
      <c r="M51" s="17">
        <v>15</v>
      </c>
    </row>
    <row r="52" spans="1:13" ht="16.4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7">
        <v>5</v>
      </c>
      <c r="G52" s="8" t="s">
        <v>20</v>
      </c>
      <c r="H52" s="8" t="s">
        <v>23</v>
      </c>
      <c r="I52" s="17"/>
      <c r="J52" s="8" t="s">
        <v>23</v>
      </c>
      <c r="K52" s="17">
        <v>0</v>
      </c>
      <c r="L52" s="17">
        <v>1</v>
      </c>
      <c r="M52" s="17">
        <v>4</v>
      </c>
    </row>
    <row r="53" spans="1:13" ht="16.4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7">
        <v>15</v>
      </c>
      <c r="G53" s="8" t="s">
        <v>27</v>
      </c>
      <c r="H53" s="8" t="s">
        <v>19</v>
      </c>
      <c r="I53" s="17">
        <v>30</v>
      </c>
      <c r="J53" s="8" t="s">
        <v>19</v>
      </c>
      <c r="K53" s="17">
        <v>20</v>
      </c>
      <c r="L53" s="17">
        <v>7</v>
      </c>
      <c r="M53" s="17">
        <v>58</v>
      </c>
    </row>
    <row r="54" spans="1:13" ht="16.4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7">
        <v>10</v>
      </c>
      <c r="G54" s="8" t="s">
        <v>20</v>
      </c>
      <c r="H54" s="8" t="s">
        <v>23</v>
      </c>
      <c r="I54" s="17"/>
      <c r="J54" s="8" t="s">
        <v>19</v>
      </c>
      <c r="K54" s="17">
        <v>20</v>
      </c>
      <c r="L54" s="17">
        <v>10</v>
      </c>
      <c r="M54" s="17">
        <v>20</v>
      </c>
    </row>
    <row r="55" spans="1:13" ht="16.4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7">
        <v>5</v>
      </c>
      <c r="G55" s="8" t="s">
        <v>24</v>
      </c>
      <c r="H55" s="8" t="s">
        <v>23</v>
      </c>
      <c r="I55" s="17"/>
      <c r="J55" s="8" t="s">
        <v>23</v>
      </c>
      <c r="K55" s="17">
        <v>0</v>
      </c>
      <c r="L55" s="17">
        <v>0</v>
      </c>
      <c r="M55" s="17">
        <v>5</v>
      </c>
    </row>
    <row r="56" spans="1:13" ht="16.4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7">
        <v>15</v>
      </c>
      <c r="G56" s="8" t="s">
        <v>20</v>
      </c>
      <c r="H56" s="8" t="s">
        <v>19</v>
      </c>
      <c r="I56" s="17">
        <v>30</v>
      </c>
      <c r="J56" s="8" t="s">
        <v>19</v>
      </c>
      <c r="K56" s="17">
        <v>20</v>
      </c>
      <c r="L56" s="17">
        <v>20</v>
      </c>
      <c r="M56" s="17">
        <v>45</v>
      </c>
    </row>
    <row r="57" spans="1:13" ht="16.4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7">
        <v>10</v>
      </c>
      <c r="G57" s="8" t="s">
        <v>27</v>
      </c>
      <c r="H57" s="8" t="s">
        <v>23</v>
      </c>
      <c r="I57" s="17"/>
      <c r="J57" s="8" t="s">
        <v>19</v>
      </c>
      <c r="K57" s="17">
        <v>20</v>
      </c>
      <c r="L57" s="17">
        <v>15</v>
      </c>
      <c r="M57" s="17">
        <v>15</v>
      </c>
    </row>
    <row r="58" spans="1:13" ht="16.4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7">
        <v>5</v>
      </c>
      <c r="G58" s="8" t="s">
        <v>20</v>
      </c>
      <c r="H58" s="8" t="s">
        <v>23</v>
      </c>
      <c r="I58" s="17"/>
      <c r="J58" s="8" t="s">
        <v>23</v>
      </c>
      <c r="K58" s="17">
        <v>0</v>
      </c>
      <c r="L58" s="17">
        <v>1</v>
      </c>
      <c r="M58" s="17">
        <v>4</v>
      </c>
    </row>
    <row r="59" spans="1:13" ht="16.4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7">
        <v>15</v>
      </c>
      <c r="G59" s="8" t="s">
        <v>24</v>
      </c>
      <c r="H59" s="8" t="s">
        <v>19</v>
      </c>
      <c r="I59" s="17">
        <v>30</v>
      </c>
      <c r="J59" s="8" t="s">
        <v>19</v>
      </c>
      <c r="K59" s="17">
        <v>20</v>
      </c>
      <c r="L59" s="17">
        <v>3</v>
      </c>
      <c r="M59" s="17">
        <v>62</v>
      </c>
    </row>
    <row r="60" spans="1:13" ht="16.4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7">
        <v>10</v>
      </c>
      <c r="G60" s="8" t="s">
        <v>20</v>
      </c>
      <c r="H60" s="8" t="s">
        <v>23</v>
      </c>
      <c r="I60" s="17"/>
      <c r="J60" s="8" t="s">
        <v>19</v>
      </c>
      <c r="K60" s="17">
        <v>20</v>
      </c>
      <c r="L60" s="17">
        <v>10</v>
      </c>
      <c r="M60" s="17">
        <v>20</v>
      </c>
    </row>
    <row r="61" spans="1:13" ht="16.4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7">
        <v>5</v>
      </c>
      <c r="G61" s="8" t="s">
        <v>27</v>
      </c>
      <c r="H61" s="8" t="s">
        <v>23</v>
      </c>
      <c r="I61" s="17"/>
      <c r="J61" s="8" t="s">
        <v>23</v>
      </c>
      <c r="K61" s="17">
        <v>0</v>
      </c>
      <c r="L61" s="17">
        <v>0</v>
      </c>
      <c r="M61" s="17">
        <v>5</v>
      </c>
    </row>
    <row r="62" spans="1:13" ht="16.4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7">
        <v>15</v>
      </c>
      <c r="G62" s="8" t="s">
        <v>20</v>
      </c>
      <c r="H62" s="8" t="s">
        <v>19</v>
      </c>
      <c r="I62" s="17">
        <v>30</v>
      </c>
      <c r="J62" s="8" t="s">
        <v>19</v>
      </c>
      <c r="K62" s="17">
        <v>20</v>
      </c>
      <c r="L62" s="17">
        <v>5</v>
      </c>
      <c r="M62" s="17">
        <v>60</v>
      </c>
    </row>
    <row r="63" spans="1:13" ht="16.4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7">
        <v>10</v>
      </c>
      <c r="G63" s="8" t="s">
        <v>24</v>
      </c>
      <c r="H63" s="8" t="s">
        <v>23</v>
      </c>
      <c r="I63" s="17"/>
      <c r="J63" s="8" t="s">
        <v>19</v>
      </c>
      <c r="K63" s="17">
        <v>20</v>
      </c>
      <c r="L63" s="17">
        <v>15</v>
      </c>
      <c r="M63" s="17">
        <v>15</v>
      </c>
    </row>
    <row r="64" spans="1:13" ht="16.4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7">
        <v>5</v>
      </c>
      <c r="G64" s="8" t="s">
        <v>20</v>
      </c>
      <c r="H64" s="8" t="s">
        <v>23</v>
      </c>
      <c r="I64" s="17"/>
      <c r="J64" s="8" t="s">
        <v>23</v>
      </c>
      <c r="K64" s="17">
        <v>0</v>
      </c>
      <c r="L64" s="17">
        <v>1</v>
      </c>
      <c r="M64" s="17">
        <v>4</v>
      </c>
    </row>
    <row r="65" spans="1:13" ht="16.4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7">
        <v>15</v>
      </c>
      <c r="G65" s="8" t="s">
        <v>27</v>
      </c>
      <c r="H65" s="8" t="s">
        <v>19</v>
      </c>
      <c r="I65" s="17">
        <v>30</v>
      </c>
      <c r="J65" s="8" t="s">
        <v>19</v>
      </c>
      <c r="K65" s="17">
        <v>20</v>
      </c>
      <c r="L65" s="17">
        <v>20</v>
      </c>
      <c r="M65" s="17">
        <v>45</v>
      </c>
    </row>
    <row r="66" spans="1:13" ht="16.4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7">
        <v>10</v>
      </c>
      <c r="G66" s="8" t="s">
        <v>20</v>
      </c>
      <c r="H66" s="8" t="s">
        <v>23</v>
      </c>
      <c r="I66" s="17"/>
      <c r="J66" s="8" t="s">
        <v>19</v>
      </c>
      <c r="K66" s="17">
        <v>20</v>
      </c>
      <c r="L66" s="17">
        <v>5</v>
      </c>
      <c r="M66" s="17">
        <v>25</v>
      </c>
    </row>
    <row r="67" spans="1:13" ht="16.4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7">
        <v>5</v>
      </c>
      <c r="G67" s="8" t="s">
        <v>20</v>
      </c>
      <c r="H67" s="8" t="s">
        <v>23</v>
      </c>
      <c r="I67" s="17"/>
      <c r="J67" s="8" t="s">
        <v>23</v>
      </c>
      <c r="K67" s="17">
        <v>0</v>
      </c>
      <c r="L67" s="17">
        <v>0</v>
      </c>
      <c r="M67" s="17">
        <v>5</v>
      </c>
    </row>
    <row r="68" spans="1:13" ht="16.4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7">
        <v>15</v>
      </c>
      <c r="G68" s="8" t="s">
        <v>27</v>
      </c>
      <c r="H68" s="8" t="s">
        <v>19</v>
      </c>
      <c r="I68" s="17">
        <v>30</v>
      </c>
      <c r="J68" s="8" t="s">
        <v>19</v>
      </c>
      <c r="K68" s="17">
        <v>20</v>
      </c>
      <c r="L68" s="17">
        <v>7</v>
      </c>
      <c r="M68" s="17">
        <v>58</v>
      </c>
    </row>
    <row r="69" spans="1:13" ht="16.4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7">
        <v>10</v>
      </c>
      <c r="G69" s="8" t="s">
        <v>24</v>
      </c>
      <c r="H69" s="8" t="s">
        <v>23</v>
      </c>
      <c r="I69" s="17"/>
      <c r="J69" s="8" t="s">
        <v>19</v>
      </c>
      <c r="K69" s="17">
        <v>20</v>
      </c>
      <c r="L69" s="17">
        <v>10</v>
      </c>
      <c r="M69" s="17">
        <v>20</v>
      </c>
    </row>
    <row r="70" spans="1:13" ht="16.4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7">
        <v>5</v>
      </c>
      <c r="G70" s="8" t="s">
        <v>27</v>
      </c>
      <c r="H70" s="8" t="s">
        <v>23</v>
      </c>
      <c r="I70" s="17"/>
      <c r="J70" s="8" t="s">
        <v>23</v>
      </c>
      <c r="K70" s="17">
        <v>0</v>
      </c>
      <c r="L70" s="17">
        <v>1</v>
      </c>
      <c r="M70" s="17">
        <v>4</v>
      </c>
    </row>
    <row r="71" spans="1:13" ht="16.4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7">
        <v>15</v>
      </c>
      <c r="G71" s="8" t="s">
        <v>20</v>
      </c>
      <c r="H71" s="8" t="s">
        <v>19</v>
      </c>
      <c r="I71" s="17">
        <v>30</v>
      </c>
      <c r="J71" s="8" t="s">
        <v>19</v>
      </c>
      <c r="K71" s="17">
        <v>20</v>
      </c>
      <c r="L71" s="17">
        <v>15</v>
      </c>
      <c r="M71" s="17">
        <v>50</v>
      </c>
    </row>
    <row r="72" spans="1:13" ht="16.4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7">
        <v>10</v>
      </c>
      <c r="G72" s="8" t="s">
        <v>20</v>
      </c>
      <c r="H72" s="8" t="s">
        <v>23</v>
      </c>
      <c r="I72" s="17"/>
      <c r="J72" s="8" t="s">
        <v>19</v>
      </c>
      <c r="K72" s="17">
        <v>20</v>
      </c>
      <c r="L72" s="17">
        <v>5</v>
      </c>
      <c r="M72" s="17">
        <v>25</v>
      </c>
    </row>
    <row r="73" spans="1:13" ht="16.4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7">
        <v>5</v>
      </c>
      <c r="G73" s="8" t="s">
        <v>24</v>
      </c>
      <c r="H73" s="8" t="s">
        <v>23</v>
      </c>
      <c r="I73" s="17"/>
      <c r="J73" s="8" t="s">
        <v>23</v>
      </c>
      <c r="K73" s="17">
        <v>0</v>
      </c>
      <c r="L73" s="17">
        <v>0</v>
      </c>
      <c r="M73" s="17">
        <v>5</v>
      </c>
    </row>
    <row r="74" spans="1:13" ht="16.4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7">
        <v>15</v>
      </c>
      <c r="G74" s="8" t="s">
        <v>27</v>
      </c>
      <c r="H74" s="8" t="s">
        <v>19</v>
      </c>
      <c r="I74" s="17">
        <v>30</v>
      </c>
      <c r="J74" s="8" t="s">
        <v>19</v>
      </c>
      <c r="K74" s="17">
        <v>20</v>
      </c>
      <c r="L74" s="17">
        <v>20</v>
      </c>
      <c r="M74" s="17">
        <v>45</v>
      </c>
    </row>
    <row r="75" spans="1:13" ht="16.4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7">
        <v>10</v>
      </c>
      <c r="G75" s="8" t="s">
        <v>27</v>
      </c>
      <c r="H75" s="8" t="s">
        <v>23</v>
      </c>
      <c r="I75" s="17"/>
      <c r="J75" s="8" t="s">
        <v>19</v>
      </c>
      <c r="K75" s="17">
        <v>20</v>
      </c>
      <c r="L75" s="17">
        <v>12</v>
      </c>
      <c r="M75" s="17">
        <v>18</v>
      </c>
    </row>
    <row r="76" spans="1:13" ht="16.4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7">
        <v>5</v>
      </c>
      <c r="G76" s="8" t="s">
        <v>20</v>
      </c>
      <c r="H76" s="8" t="s">
        <v>23</v>
      </c>
      <c r="I76" s="17"/>
      <c r="J76" s="8" t="s">
        <v>23</v>
      </c>
      <c r="K76" s="17">
        <v>0</v>
      </c>
      <c r="L76" s="17">
        <v>2</v>
      </c>
      <c r="M76" s="17">
        <v>3</v>
      </c>
    </row>
    <row r="77" spans="1:13" ht="16.4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7">
        <v>15</v>
      </c>
      <c r="G77" s="8" t="s">
        <v>24</v>
      </c>
      <c r="H77" s="8" t="s">
        <v>19</v>
      </c>
      <c r="I77" s="17">
        <v>30</v>
      </c>
      <c r="J77" s="8" t="s">
        <v>19</v>
      </c>
      <c r="K77" s="17">
        <v>20</v>
      </c>
      <c r="L77" s="17">
        <v>5</v>
      </c>
      <c r="M77" s="17">
        <v>60</v>
      </c>
    </row>
    <row r="78" spans="1:13" ht="16.4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7">
        <v>10</v>
      </c>
      <c r="G78" s="8" t="s">
        <v>20</v>
      </c>
      <c r="H78" s="8" t="s">
        <v>23</v>
      </c>
      <c r="I78" s="17"/>
      <c r="J78" s="8" t="s">
        <v>19</v>
      </c>
      <c r="K78" s="17">
        <v>20</v>
      </c>
      <c r="L78" s="17">
        <v>10</v>
      </c>
      <c r="M78" s="17">
        <v>20</v>
      </c>
    </row>
    <row r="79" spans="1:13" ht="16.4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7">
        <v>5</v>
      </c>
      <c r="G79" s="8" t="s">
        <v>27</v>
      </c>
      <c r="H79" s="8" t="s">
        <v>23</v>
      </c>
      <c r="I79" s="17"/>
      <c r="J79" s="8" t="s">
        <v>23</v>
      </c>
      <c r="K79" s="17">
        <v>0</v>
      </c>
      <c r="L79" s="17">
        <v>0</v>
      </c>
      <c r="M79" s="17">
        <v>5</v>
      </c>
    </row>
    <row r="80" spans="1:13" ht="16.4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7">
        <v>15</v>
      </c>
      <c r="G80" s="8" t="s">
        <v>20</v>
      </c>
      <c r="H80" s="8" t="s">
        <v>19</v>
      </c>
      <c r="I80" s="17">
        <v>30</v>
      </c>
      <c r="J80" s="8" t="s">
        <v>19</v>
      </c>
      <c r="K80" s="17">
        <v>20</v>
      </c>
      <c r="L80" s="17">
        <v>3</v>
      </c>
      <c r="M80" s="17">
        <v>62</v>
      </c>
    </row>
    <row r="81" spans="1:13" ht="16.4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7">
        <v>10</v>
      </c>
      <c r="G81" s="8" t="s">
        <v>24</v>
      </c>
      <c r="H81" s="8" t="s">
        <v>23</v>
      </c>
      <c r="I81" s="17"/>
      <c r="J81" s="8" t="s">
        <v>19</v>
      </c>
      <c r="K81" s="17">
        <v>20</v>
      </c>
      <c r="L81" s="17">
        <v>15</v>
      </c>
      <c r="M81" s="17">
        <v>15</v>
      </c>
    </row>
    <row r="82" spans="1:13" ht="16.4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7">
        <v>5</v>
      </c>
      <c r="G82" s="8" t="s">
        <v>20</v>
      </c>
      <c r="H82" s="8" t="s">
        <v>23</v>
      </c>
      <c r="I82" s="17"/>
      <c r="J82" s="8" t="s">
        <v>23</v>
      </c>
      <c r="K82" s="17">
        <v>0</v>
      </c>
      <c r="L82" s="17">
        <v>1</v>
      </c>
      <c r="M82" s="17">
        <v>4</v>
      </c>
    </row>
    <row r="83" spans="1:13" ht="16.4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7">
        <v>15</v>
      </c>
      <c r="G83" s="8" t="s">
        <v>27</v>
      </c>
      <c r="H83" s="8" t="s">
        <v>19</v>
      </c>
      <c r="I83" s="17">
        <v>30</v>
      </c>
      <c r="J83" s="8" t="s">
        <v>19</v>
      </c>
      <c r="K83" s="17">
        <v>20</v>
      </c>
      <c r="L83" s="17">
        <v>7</v>
      </c>
      <c r="M83" s="17">
        <v>58</v>
      </c>
    </row>
    <row r="84" spans="1:13" ht="16.4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7">
        <v>10</v>
      </c>
      <c r="G84" s="8" t="s">
        <v>20</v>
      </c>
      <c r="H84" s="8" t="s">
        <v>23</v>
      </c>
      <c r="I84" s="17"/>
      <c r="J84" s="8" t="s">
        <v>19</v>
      </c>
      <c r="K84" s="17">
        <v>20</v>
      </c>
      <c r="L84" s="17">
        <v>10</v>
      </c>
      <c r="M84" s="17">
        <v>20</v>
      </c>
    </row>
    <row r="85" spans="1:13" ht="16.4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7">
        <v>5</v>
      </c>
      <c r="G85" s="8" t="s">
        <v>24</v>
      </c>
      <c r="H85" s="8" t="s">
        <v>23</v>
      </c>
      <c r="I85" s="17"/>
      <c r="J85" s="8" t="s">
        <v>23</v>
      </c>
      <c r="K85" s="17">
        <v>0</v>
      </c>
      <c r="L85" s="17">
        <v>0</v>
      </c>
      <c r="M85" s="17">
        <v>5</v>
      </c>
    </row>
    <row r="86" spans="1:13" ht="16.4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7">
        <v>15</v>
      </c>
      <c r="G86" s="8" t="s">
        <v>20</v>
      </c>
      <c r="H86" s="8" t="s">
        <v>19</v>
      </c>
      <c r="I86" s="17">
        <v>30</v>
      </c>
      <c r="J86" s="8" t="s">
        <v>19</v>
      </c>
      <c r="K86" s="17">
        <v>20</v>
      </c>
      <c r="L86" s="17">
        <v>20</v>
      </c>
      <c r="M86" s="17">
        <v>45</v>
      </c>
    </row>
    <row r="87" spans="1:13" ht="16.4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7">
        <v>10</v>
      </c>
      <c r="G87" s="8" t="s">
        <v>27</v>
      </c>
      <c r="H87" s="8" t="s">
        <v>23</v>
      </c>
      <c r="I87" s="17"/>
      <c r="J87" s="8" t="s">
        <v>19</v>
      </c>
      <c r="K87" s="17">
        <v>20</v>
      </c>
      <c r="L87" s="17">
        <v>15</v>
      </c>
      <c r="M87" s="17">
        <v>15</v>
      </c>
    </row>
    <row r="88" spans="1:13" ht="16.4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7">
        <v>5</v>
      </c>
      <c r="G88" s="8" t="s">
        <v>20</v>
      </c>
      <c r="H88" s="8" t="s">
        <v>23</v>
      </c>
      <c r="I88" s="17"/>
      <c r="J88" s="8" t="s">
        <v>23</v>
      </c>
      <c r="K88" s="17">
        <v>0</v>
      </c>
      <c r="L88" s="17">
        <v>1</v>
      </c>
      <c r="M88" s="17">
        <v>4</v>
      </c>
    </row>
    <row r="89" spans="1:13" ht="16.4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7">
        <v>15</v>
      </c>
      <c r="G89" s="8" t="s">
        <v>24</v>
      </c>
      <c r="H89" s="8" t="s">
        <v>19</v>
      </c>
      <c r="I89" s="17">
        <v>30</v>
      </c>
      <c r="J89" s="8" t="s">
        <v>19</v>
      </c>
      <c r="K89" s="17">
        <v>20</v>
      </c>
      <c r="L89" s="17">
        <v>3</v>
      </c>
      <c r="M89" s="17">
        <v>62</v>
      </c>
    </row>
    <row r="90" spans="1:13" ht="16.4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7">
        <v>10</v>
      </c>
      <c r="G90" s="8" t="s">
        <v>20</v>
      </c>
      <c r="H90" s="8" t="s">
        <v>23</v>
      </c>
      <c r="I90" s="17"/>
      <c r="J90" s="8" t="s">
        <v>19</v>
      </c>
      <c r="K90" s="17">
        <v>20</v>
      </c>
      <c r="L90" s="17">
        <v>10</v>
      </c>
      <c r="M90" s="17">
        <v>20</v>
      </c>
    </row>
    <row r="91" spans="1:13" ht="16.4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7">
        <v>5</v>
      </c>
      <c r="G91" s="8" t="s">
        <v>27</v>
      </c>
      <c r="H91" s="8" t="s">
        <v>23</v>
      </c>
      <c r="I91" s="17"/>
      <c r="J91" s="8" t="s">
        <v>23</v>
      </c>
      <c r="K91" s="17">
        <v>0</v>
      </c>
      <c r="L91" s="17">
        <v>0</v>
      </c>
      <c r="M91" s="17">
        <v>5</v>
      </c>
    </row>
    <row r="92" spans="1:13" ht="16.4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7">
        <v>15</v>
      </c>
      <c r="G92" s="8" t="s">
        <v>20</v>
      </c>
      <c r="H92" s="8" t="s">
        <v>19</v>
      </c>
      <c r="I92" s="17">
        <v>30</v>
      </c>
      <c r="J92" s="8" t="s">
        <v>19</v>
      </c>
      <c r="K92" s="17">
        <v>20</v>
      </c>
      <c r="L92" s="17">
        <v>5</v>
      </c>
      <c r="M92" s="17">
        <v>60</v>
      </c>
    </row>
    <row r="93" spans="1:13" ht="16.4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7">
        <v>10</v>
      </c>
      <c r="G93" s="8" t="s">
        <v>24</v>
      </c>
      <c r="H93" s="8" t="s">
        <v>23</v>
      </c>
      <c r="I93" s="17"/>
      <c r="J93" s="8" t="s">
        <v>19</v>
      </c>
      <c r="K93" s="17">
        <v>20</v>
      </c>
      <c r="L93" s="17">
        <v>15</v>
      </c>
      <c r="M93" s="17">
        <v>15</v>
      </c>
    </row>
    <row r="94" spans="1:13" ht="16.4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7">
        <v>5</v>
      </c>
      <c r="G94" s="8" t="s">
        <v>20</v>
      </c>
      <c r="H94" s="8" t="s">
        <v>23</v>
      </c>
      <c r="I94" s="17"/>
      <c r="J94" s="8" t="s">
        <v>23</v>
      </c>
      <c r="K94" s="17">
        <v>0</v>
      </c>
      <c r="L94" s="17">
        <v>1</v>
      </c>
      <c r="M94" s="17">
        <v>4</v>
      </c>
    </row>
    <row r="95" spans="1:13" ht="16.4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7">
        <v>15</v>
      </c>
      <c r="G95" s="8" t="s">
        <v>27</v>
      </c>
      <c r="H95" s="8" t="s">
        <v>19</v>
      </c>
      <c r="I95" s="17">
        <v>30</v>
      </c>
      <c r="J95" s="8" t="s">
        <v>19</v>
      </c>
      <c r="K95" s="17">
        <v>20</v>
      </c>
      <c r="L95" s="17">
        <v>20</v>
      </c>
      <c r="M95" s="17">
        <v>45</v>
      </c>
    </row>
    <row r="96" spans="1:13" ht="16.4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7">
        <v>10</v>
      </c>
      <c r="G96" s="8" t="s">
        <v>27</v>
      </c>
      <c r="H96" s="8" t="s">
        <v>23</v>
      </c>
      <c r="I96" s="17"/>
      <c r="J96" s="8" t="s">
        <v>19</v>
      </c>
      <c r="K96" s="17">
        <v>20</v>
      </c>
      <c r="L96" s="17">
        <v>15</v>
      </c>
      <c r="M96" s="17">
        <v>15</v>
      </c>
    </row>
    <row r="97" spans="1:13" ht="16.4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7">
        <v>5</v>
      </c>
      <c r="G97" s="8" t="s">
        <v>24</v>
      </c>
      <c r="H97" s="8" t="s">
        <v>23</v>
      </c>
      <c r="I97" s="17"/>
      <c r="J97" s="8" t="s">
        <v>23</v>
      </c>
      <c r="K97" s="17">
        <v>0</v>
      </c>
      <c r="L97" s="17">
        <v>0</v>
      </c>
      <c r="M97" s="17">
        <v>5</v>
      </c>
    </row>
    <row r="98" spans="1:13" ht="16.4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7">
        <v>15</v>
      </c>
      <c r="G98" s="8" t="s">
        <v>20</v>
      </c>
      <c r="H98" s="8" t="s">
        <v>19</v>
      </c>
      <c r="I98" s="17">
        <v>30</v>
      </c>
      <c r="J98" s="8" t="s">
        <v>19</v>
      </c>
      <c r="K98" s="17">
        <v>20</v>
      </c>
      <c r="L98" s="17">
        <v>7</v>
      </c>
      <c r="M98" s="17">
        <v>58</v>
      </c>
    </row>
    <row r="99" spans="1:13" ht="16.4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7">
        <v>10</v>
      </c>
      <c r="G99" s="8" t="s">
        <v>24</v>
      </c>
      <c r="H99" s="8" t="s">
        <v>23</v>
      </c>
      <c r="I99" s="17"/>
      <c r="J99" s="8" t="s">
        <v>19</v>
      </c>
      <c r="K99" s="17">
        <v>20</v>
      </c>
      <c r="L99" s="17">
        <v>10</v>
      </c>
      <c r="M99" s="17">
        <v>20</v>
      </c>
    </row>
    <row r="100" spans="1:13" ht="16.4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7">
        <v>5</v>
      </c>
      <c r="G100" s="8" t="s">
        <v>27</v>
      </c>
      <c r="H100" s="8" t="s">
        <v>23</v>
      </c>
      <c r="I100" s="17"/>
      <c r="J100" s="8" t="s">
        <v>23</v>
      </c>
      <c r="K100" s="17">
        <v>0</v>
      </c>
      <c r="L100" s="17">
        <v>1</v>
      </c>
      <c r="M100" s="17">
        <v>4</v>
      </c>
    </row>
    <row r="101" spans="1:13" ht="16.4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7">
        <v>15</v>
      </c>
      <c r="G101" s="8" t="s">
        <v>20</v>
      </c>
      <c r="H101" s="8" t="s">
        <v>19</v>
      </c>
      <c r="I101" s="17">
        <v>30</v>
      </c>
      <c r="J101" s="8" t="s">
        <v>19</v>
      </c>
      <c r="K101" s="17">
        <v>20</v>
      </c>
      <c r="L101" s="17">
        <v>15</v>
      </c>
      <c r="M101" s="17">
        <v>50</v>
      </c>
    </row>
    <row r="102" spans="1:13" ht="16.4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7">
        <v>10</v>
      </c>
      <c r="G102" s="8" t="s">
        <v>20</v>
      </c>
      <c r="H102" s="8" t="s">
        <v>23</v>
      </c>
      <c r="I102" s="17"/>
      <c r="J102" s="8" t="s">
        <v>19</v>
      </c>
      <c r="K102" s="17">
        <v>20</v>
      </c>
      <c r="L102" s="17">
        <v>5</v>
      </c>
      <c r="M102" s="17">
        <v>25</v>
      </c>
    </row>
    <row r="103" spans="1:13" ht="16.4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7">
        <v>5</v>
      </c>
      <c r="G103" s="8" t="s">
        <v>24</v>
      </c>
      <c r="H103" s="8" t="s">
        <v>23</v>
      </c>
      <c r="I103" s="17"/>
      <c r="J103" s="8" t="s">
        <v>23</v>
      </c>
      <c r="K103" s="17">
        <v>0</v>
      </c>
      <c r="L103" s="17">
        <v>0</v>
      </c>
      <c r="M103" s="17">
        <v>5</v>
      </c>
    </row>
    <row r="104" spans="1:13" ht="16.4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7">
        <v>15</v>
      </c>
      <c r="G104" s="8" t="s">
        <v>27</v>
      </c>
      <c r="H104" s="8" t="s">
        <v>19</v>
      </c>
      <c r="I104" s="17">
        <v>30</v>
      </c>
      <c r="J104" s="8" t="s">
        <v>19</v>
      </c>
      <c r="K104" s="17">
        <v>20</v>
      </c>
      <c r="L104" s="17">
        <v>20</v>
      </c>
      <c r="M104" s="17">
        <v>45</v>
      </c>
    </row>
    <row r="105" spans="1:13" ht="16.4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7">
        <v>10</v>
      </c>
      <c r="G105" s="8" t="s">
        <v>27</v>
      </c>
      <c r="H105" s="8" t="s">
        <v>23</v>
      </c>
      <c r="I105" s="17"/>
      <c r="J105" s="8" t="s">
        <v>19</v>
      </c>
      <c r="K105" s="17">
        <v>20</v>
      </c>
      <c r="L105" s="17">
        <v>12</v>
      </c>
      <c r="M105" s="17">
        <v>18</v>
      </c>
    </row>
    <row r="106" spans="1:13" ht="16.4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7">
        <v>5</v>
      </c>
      <c r="G106" s="8" t="s">
        <v>20</v>
      </c>
      <c r="H106" s="8" t="s">
        <v>23</v>
      </c>
      <c r="I106" s="17"/>
      <c r="J106" s="8" t="s">
        <v>23</v>
      </c>
      <c r="K106" s="17">
        <v>0</v>
      </c>
      <c r="L106" s="17">
        <v>2</v>
      </c>
      <c r="M106" s="17">
        <v>3</v>
      </c>
    </row>
    <row r="107" spans="1:13" ht="16.4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7">
        <v>5</v>
      </c>
      <c r="G107" s="8" t="s">
        <v>20</v>
      </c>
      <c r="H107" s="8" t="s">
        <v>23</v>
      </c>
      <c r="I107" s="17"/>
      <c r="J107" s="8" t="s">
        <v>23</v>
      </c>
      <c r="K107" s="17">
        <v>0</v>
      </c>
      <c r="L107" s="17">
        <v>0</v>
      </c>
      <c r="M107" s="17">
        <v>5</v>
      </c>
    </row>
    <row r="108" spans="1:13" ht="16.4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7">
        <v>15</v>
      </c>
      <c r="G108" s="8" t="s">
        <v>27</v>
      </c>
      <c r="H108" s="8" t="s">
        <v>19</v>
      </c>
      <c r="I108" s="17">
        <v>30</v>
      </c>
      <c r="J108" s="8" t="s">
        <v>19</v>
      </c>
      <c r="K108" s="17">
        <v>20</v>
      </c>
      <c r="L108" s="17">
        <v>7</v>
      </c>
      <c r="M108" s="17">
        <v>58</v>
      </c>
    </row>
    <row r="109" spans="1:13" ht="16.4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7">
        <v>10</v>
      </c>
      <c r="G109" s="8" t="s">
        <v>24</v>
      </c>
      <c r="H109" s="8" t="s">
        <v>23</v>
      </c>
      <c r="I109" s="17"/>
      <c r="J109" s="8" t="s">
        <v>19</v>
      </c>
      <c r="K109" s="17">
        <v>20</v>
      </c>
      <c r="L109" s="17">
        <v>10</v>
      </c>
      <c r="M109" s="17">
        <v>20</v>
      </c>
    </row>
    <row r="110" spans="1:13" ht="16.4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7">
        <v>5</v>
      </c>
      <c r="G110" s="8" t="s">
        <v>27</v>
      </c>
      <c r="H110" s="8" t="s">
        <v>23</v>
      </c>
      <c r="I110" s="17"/>
      <c r="J110" s="8" t="s">
        <v>23</v>
      </c>
      <c r="K110" s="17">
        <v>0</v>
      </c>
      <c r="L110" s="17">
        <v>1</v>
      </c>
      <c r="M110" s="17">
        <v>4</v>
      </c>
    </row>
    <row r="111" spans="1:13" ht="16.4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7">
        <v>15</v>
      </c>
      <c r="G111" s="8" t="s">
        <v>20</v>
      </c>
      <c r="H111" s="8" t="s">
        <v>19</v>
      </c>
      <c r="I111" s="17">
        <v>30</v>
      </c>
      <c r="J111" s="8" t="s">
        <v>19</v>
      </c>
      <c r="K111" s="17">
        <v>20</v>
      </c>
      <c r="L111" s="17">
        <v>15</v>
      </c>
      <c r="M111" s="17">
        <v>50</v>
      </c>
    </row>
    <row r="112" spans="1:13" ht="16.4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7">
        <v>10</v>
      </c>
      <c r="G112" s="8" t="s">
        <v>20</v>
      </c>
      <c r="H112" s="8" t="s">
        <v>23</v>
      </c>
      <c r="I112" s="17"/>
      <c r="J112" s="8" t="s">
        <v>19</v>
      </c>
      <c r="K112" s="17">
        <v>20</v>
      </c>
      <c r="L112" s="17">
        <v>5</v>
      </c>
      <c r="M112" s="17">
        <v>25</v>
      </c>
    </row>
    <row r="113" spans="1:13" ht="16.4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7">
        <v>5</v>
      </c>
      <c r="G113" s="8" t="s">
        <v>24</v>
      </c>
      <c r="H113" s="8" t="s">
        <v>23</v>
      </c>
      <c r="I113" s="17"/>
      <c r="J113" s="8" t="s">
        <v>23</v>
      </c>
      <c r="K113" s="17">
        <v>0</v>
      </c>
      <c r="L113" s="17">
        <v>0</v>
      </c>
      <c r="M113" s="17">
        <v>5</v>
      </c>
    </row>
    <row r="114" spans="1:13" ht="16.4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7">
        <v>15</v>
      </c>
      <c r="G114" s="8" t="s">
        <v>27</v>
      </c>
      <c r="H114" s="8" t="s">
        <v>19</v>
      </c>
      <c r="I114" s="17">
        <v>30</v>
      </c>
      <c r="J114" s="8" t="s">
        <v>19</v>
      </c>
      <c r="K114" s="17">
        <v>20</v>
      </c>
      <c r="L114" s="17">
        <v>20</v>
      </c>
      <c r="M114" s="17">
        <v>45</v>
      </c>
    </row>
    <row r="115" spans="1:13" ht="16.4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7">
        <v>10</v>
      </c>
      <c r="G115" s="8" t="s">
        <v>27</v>
      </c>
      <c r="H115" s="8" t="s">
        <v>23</v>
      </c>
      <c r="I115" s="17"/>
      <c r="J115" s="8" t="s">
        <v>19</v>
      </c>
      <c r="K115" s="17">
        <v>20</v>
      </c>
      <c r="L115" s="17">
        <v>12</v>
      </c>
      <c r="M115" s="17">
        <v>18</v>
      </c>
    </row>
    <row r="116" spans="1:13" ht="16.4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7">
        <v>5</v>
      </c>
      <c r="G116" s="8" t="s">
        <v>20</v>
      </c>
      <c r="H116" s="8" t="s">
        <v>23</v>
      </c>
      <c r="I116" s="17"/>
      <c r="J116" s="8" t="s">
        <v>23</v>
      </c>
      <c r="K116" s="17">
        <v>0</v>
      </c>
      <c r="L116" s="17">
        <v>2</v>
      </c>
      <c r="M116" s="17">
        <v>3</v>
      </c>
    </row>
    <row r="117" spans="1:13" ht="16.4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7">
        <v>15</v>
      </c>
      <c r="G117" s="8" t="s">
        <v>24</v>
      </c>
      <c r="H117" s="8" t="s">
        <v>19</v>
      </c>
      <c r="I117" s="17">
        <v>30</v>
      </c>
      <c r="J117" s="8" t="s">
        <v>19</v>
      </c>
      <c r="K117" s="17">
        <v>20</v>
      </c>
      <c r="L117" s="17">
        <v>5</v>
      </c>
      <c r="M117" s="17">
        <v>60</v>
      </c>
    </row>
    <row r="118" spans="1:13" ht="16.4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7">
        <v>10</v>
      </c>
      <c r="G118" s="8" t="s">
        <v>20</v>
      </c>
      <c r="H118" s="8" t="s">
        <v>23</v>
      </c>
      <c r="I118" s="17"/>
      <c r="J118" s="8" t="s">
        <v>19</v>
      </c>
      <c r="K118" s="17">
        <v>20</v>
      </c>
      <c r="L118" s="17">
        <v>10</v>
      </c>
      <c r="M118" s="17">
        <v>20</v>
      </c>
    </row>
    <row r="119" spans="1:13" ht="16.4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7">
        <v>5</v>
      </c>
      <c r="G119" s="8" t="s">
        <v>27</v>
      </c>
      <c r="H119" s="8" t="s">
        <v>23</v>
      </c>
      <c r="I119" s="17"/>
      <c r="J119" s="8" t="s">
        <v>23</v>
      </c>
      <c r="K119" s="17">
        <v>0</v>
      </c>
      <c r="L119" s="17">
        <v>0</v>
      </c>
      <c r="M119" s="17">
        <v>5</v>
      </c>
    </row>
    <row r="120" spans="1:13" ht="16.4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7">
        <v>15</v>
      </c>
      <c r="G120" s="8" t="s">
        <v>20</v>
      </c>
      <c r="H120" s="8" t="s">
        <v>19</v>
      </c>
      <c r="I120" s="17">
        <v>30</v>
      </c>
      <c r="J120" s="8" t="s">
        <v>19</v>
      </c>
      <c r="K120" s="17">
        <v>20</v>
      </c>
      <c r="L120" s="17">
        <v>3</v>
      </c>
      <c r="M120" s="17">
        <v>62</v>
      </c>
    </row>
    <row r="121" spans="1:13" ht="16.4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7">
        <v>10</v>
      </c>
      <c r="G121" s="8" t="s">
        <v>24</v>
      </c>
      <c r="H121" s="8" t="s">
        <v>23</v>
      </c>
      <c r="I121" s="17"/>
      <c r="J121" s="8" t="s">
        <v>19</v>
      </c>
      <c r="K121" s="17">
        <v>20</v>
      </c>
      <c r="L121" s="17">
        <v>15</v>
      </c>
      <c r="M121" s="17">
        <v>15</v>
      </c>
    </row>
    <row r="122" spans="1:13" ht="16.4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7">
        <v>5</v>
      </c>
      <c r="G122" s="8" t="s">
        <v>20</v>
      </c>
      <c r="H122" s="8" t="s">
        <v>23</v>
      </c>
      <c r="I122" s="17"/>
      <c r="J122" s="8" t="s">
        <v>23</v>
      </c>
      <c r="K122" s="17">
        <v>0</v>
      </c>
      <c r="L122" s="17">
        <v>1</v>
      </c>
      <c r="M122" s="17">
        <v>4</v>
      </c>
    </row>
    <row r="123" spans="1:13" ht="16.4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7">
        <v>15</v>
      </c>
      <c r="G123" s="8" t="s">
        <v>27</v>
      </c>
      <c r="H123" s="8" t="s">
        <v>19</v>
      </c>
      <c r="I123" s="17">
        <v>30</v>
      </c>
      <c r="J123" s="8" t="s">
        <v>19</v>
      </c>
      <c r="K123" s="17">
        <v>20</v>
      </c>
      <c r="L123" s="17">
        <v>7</v>
      </c>
      <c r="M123" s="17">
        <v>58</v>
      </c>
    </row>
    <row r="124" spans="1:13" ht="16.4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7">
        <v>10</v>
      </c>
      <c r="G124" s="8" t="s">
        <v>20</v>
      </c>
      <c r="H124" s="8" t="s">
        <v>23</v>
      </c>
      <c r="I124" s="17"/>
      <c r="J124" s="8" t="s">
        <v>19</v>
      </c>
      <c r="K124" s="17">
        <v>20</v>
      </c>
      <c r="L124" s="17">
        <v>10</v>
      </c>
      <c r="M124" s="17">
        <v>20</v>
      </c>
    </row>
    <row r="125" spans="1:13" ht="16.4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7">
        <v>5</v>
      </c>
      <c r="G125" s="8" t="s">
        <v>24</v>
      </c>
      <c r="H125" s="8" t="s">
        <v>23</v>
      </c>
      <c r="I125" s="17"/>
      <c r="J125" s="8" t="s">
        <v>23</v>
      </c>
      <c r="K125" s="17">
        <v>0</v>
      </c>
      <c r="L125" s="17">
        <v>0</v>
      </c>
      <c r="M125" s="17">
        <v>5</v>
      </c>
    </row>
    <row r="126" spans="1:13" ht="16.4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7">
        <v>15</v>
      </c>
      <c r="G126" s="8" t="s">
        <v>20</v>
      </c>
      <c r="H126" s="8" t="s">
        <v>19</v>
      </c>
      <c r="I126" s="17">
        <v>30</v>
      </c>
      <c r="J126" s="8" t="s">
        <v>19</v>
      </c>
      <c r="K126" s="17">
        <v>20</v>
      </c>
      <c r="L126" s="17">
        <v>20</v>
      </c>
      <c r="M126" s="17">
        <v>45</v>
      </c>
    </row>
    <row r="127" spans="1:13" ht="16.4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7">
        <v>10</v>
      </c>
      <c r="G127" s="8" t="s">
        <v>27</v>
      </c>
      <c r="H127" s="8" t="s">
        <v>23</v>
      </c>
      <c r="I127" s="17"/>
      <c r="J127" s="8" t="s">
        <v>19</v>
      </c>
      <c r="K127" s="17">
        <v>20</v>
      </c>
      <c r="L127" s="17">
        <v>15</v>
      </c>
      <c r="M127" s="17">
        <v>15</v>
      </c>
    </row>
    <row r="128" spans="1:13" ht="16.4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7">
        <v>5</v>
      </c>
      <c r="G128" s="8" t="s">
        <v>20</v>
      </c>
      <c r="H128" s="8" t="s">
        <v>23</v>
      </c>
      <c r="I128" s="17"/>
      <c r="J128" s="8" t="s">
        <v>23</v>
      </c>
      <c r="K128" s="17">
        <v>0</v>
      </c>
      <c r="L128" s="17">
        <v>1</v>
      </c>
      <c r="M128" s="17">
        <v>4</v>
      </c>
    </row>
    <row r="129" spans="1:13" ht="16.4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7">
        <v>15</v>
      </c>
      <c r="G129" s="8" t="s">
        <v>24</v>
      </c>
      <c r="H129" s="8" t="s">
        <v>19</v>
      </c>
      <c r="I129" s="17">
        <v>30</v>
      </c>
      <c r="J129" s="8" t="s">
        <v>19</v>
      </c>
      <c r="K129" s="17">
        <v>20</v>
      </c>
      <c r="L129" s="17">
        <v>3</v>
      </c>
      <c r="M129" s="17">
        <v>62</v>
      </c>
    </row>
    <row r="130" spans="1:13" ht="16.4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7">
        <v>10</v>
      </c>
      <c r="G130" s="8" t="s">
        <v>20</v>
      </c>
      <c r="H130" s="8" t="s">
        <v>23</v>
      </c>
      <c r="I130" s="17"/>
      <c r="J130" s="8" t="s">
        <v>19</v>
      </c>
      <c r="K130" s="17">
        <v>20</v>
      </c>
      <c r="L130" s="17">
        <v>10</v>
      </c>
      <c r="M130" s="17">
        <v>20</v>
      </c>
    </row>
    <row r="131" spans="1:13" ht="16.4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7">
        <v>5</v>
      </c>
      <c r="G131" s="8" t="s">
        <v>27</v>
      </c>
      <c r="H131" s="8" t="s">
        <v>23</v>
      </c>
      <c r="I131" s="17"/>
      <c r="J131" s="8" t="s">
        <v>23</v>
      </c>
      <c r="K131" s="17">
        <v>0</v>
      </c>
      <c r="L131" s="17">
        <v>0</v>
      </c>
      <c r="M131" s="17">
        <v>5</v>
      </c>
    </row>
    <row r="132" spans="1:13" ht="16.4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7">
        <v>15</v>
      </c>
      <c r="G132" s="8" t="s">
        <v>20</v>
      </c>
      <c r="H132" s="8" t="s">
        <v>19</v>
      </c>
      <c r="I132" s="17">
        <v>30</v>
      </c>
      <c r="J132" s="8" t="s">
        <v>19</v>
      </c>
      <c r="K132" s="17">
        <v>20</v>
      </c>
      <c r="L132" s="17">
        <v>15</v>
      </c>
      <c r="M132" s="17">
        <v>50</v>
      </c>
    </row>
    <row r="133" spans="1:13" ht="16.4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7">
        <v>10</v>
      </c>
      <c r="G133" s="8" t="s">
        <v>24</v>
      </c>
      <c r="H133" s="8" t="s">
        <v>23</v>
      </c>
      <c r="I133" s="17"/>
      <c r="J133" s="8" t="s">
        <v>19</v>
      </c>
      <c r="K133" s="17">
        <v>20</v>
      </c>
      <c r="L133" s="17">
        <v>15</v>
      </c>
      <c r="M133" s="17">
        <v>15</v>
      </c>
    </row>
    <row r="134" spans="1:13" ht="16.4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7">
        <v>5</v>
      </c>
      <c r="G134" s="8" t="s">
        <v>20</v>
      </c>
      <c r="H134" s="8" t="s">
        <v>23</v>
      </c>
      <c r="I134" s="17"/>
      <c r="J134" s="8" t="s">
        <v>23</v>
      </c>
      <c r="K134" s="17">
        <v>0</v>
      </c>
      <c r="L134" s="17">
        <v>1</v>
      </c>
      <c r="M134" s="17">
        <v>4</v>
      </c>
    </row>
    <row r="135" spans="1:13" ht="16.4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7">
        <v>15</v>
      </c>
      <c r="G135" s="8" t="s">
        <v>27</v>
      </c>
      <c r="H135" s="8" t="s">
        <v>19</v>
      </c>
      <c r="I135" s="17">
        <v>30</v>
      </c>
      <c r="J135" s="8" t="s">
        <v>19</v>
      </c>
      <c r="K135" s="17">
        <v>20</v>
      </c>
      <c r="L135" s="17">
        <v>7</v>
      </c>
      <c r="M135" s="17">
        <v>58</v>
      </c>
    </row>
    <row r="136" spans="1:13" ht="16.4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7">
        <v>10</v>
      </c>
      <c r="G136" s="8" t="s">
        <v>20</v>
      </c>
      <c r="H136" s="8" t="s">
        <v>23</v>
      </c>
      <c r="I136" s="17"/>
      <c r="J136" s="8" t="s">
        <v>19</v>
      </c>
      <c r="K136" s="17">
        <v>20</v>
      </c>
      <c r="L136" s="17">
        <v>10</v>
      </c>
      <c r="M136" s="17">
        <v>20</v>
      </c>
    </row>
    <row r="137" spans="1:13" ht="16.4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7">
        <v>5</v>
      </c>
      <c r="G137" s="8" t="s">
        <v>20</v>
      </c>
      <c r="H137" s="8" t="s">
        <v>23</v>
      </c>
      <c r="I137" s="17"/>
      <c r="J137" s="8" t="s">
        <v>23</v>
      </c>
      <c r="K137" s="17">
        <v>0</v>
      </c>
      <c r="L137" s="17">
        <v>0</v>
      </c>
      <c r="M137" s="17">
        <v>5</v>
      </c>
    </row>
    <row r="138" spans="1:13" ht="16.4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7">
        <v>15</v>
      </c>
      <c r="G138" s="8" t="s">
        <v>27</v>
      </c>
      <c r="H138" s="8" t="s">
        <v>19</v>
      </c>
      <c r="I138" s="17">
        <v>30</v>
      </c>
      <c r="J138" s="8" t="s">
        <v>19</v>
      </c>
      <c r="K138" s="17">
        <v>20</v>
      </c>
      <c r="L138" s="17">
        <v>7</v>
      </c>
      <c r="M138" s="17">
        <v>58</v>
      </c>
    </row>
    <row r="139" spans="1:13" ht="16.4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7">
        <v>10</v>
      </c>
      <c r="G139" s="8" t="s">
        <v>24</v>
      </c>
      <c r="H139" s="8" t="s">
        <v>23</v>
      </c>
      <c r="I139" s="17"/>
      <c r="J139" s="8" t="s">
        <v>19</v>
      </c>
      <c r="K139" s="17">
        <v>20</v>
      </c>
      <c r="L139" s="17">
        <v>10</v>
      </c>
      <c r="M139" s="17">
        <v>20</v>
      </c>
    </row>
    <row r="140" spans="1:13" ht="16.4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7">
        <v>5</v>
      </c>
      <c r="G140" s="8" t="s">
        <v>27</v>
      </c>
      <c r="H140" s="8" t="s">
        <v>23</v>
      </c>
      <c r="I140" s="17"/>
      <c r="J140" s="8" t="s">
        <v>23</v>
      </c>
      <c r="K140" s="17">
        <v>0</v>
      </c>
      <c r="L140" s="17">
        <v>1</v>
      </c>
      <c r="M140" s="17">
        <v>4</v>
      </c>
    </row>
    <row r="141" spans="1:13" ht="16.4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7">
        <v>15</v>
      </c>
      <c r="G141" s="8" t="s">
        <v>20</v>
      </c>
      <c r="H141" s="8" t="s">
        <v>19</v>
      </c>
      <c r="I141" s="17">
        <v>30</v>
      </c>
      <c r="J141" s="8" t="s">
        <v>19</v>
      </c>
      <c r="K141" s="17">
        <v>20</v>
      </c>
      <c r="L141" s="17">
        <v>15</v>
      </c>
      <c r="M141" s="17">
        <v>50</v>
      </c>
    </row>
    <row r="142" spans="1:13" ht="16.4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7">
        <v>10</v>
      </c>
      <c r="G142" s="8" t="s">
        <v>20</v>
      </c>
      <c r="H142" s="8" t="s">
        <v>23</v>
      </c>
      <c r="I142" s="17"/>
      <c r="J142" s="8" t="s">
        <v>19</v>
      </c>
      <c r="K142" s="17">
        <v>20</v>
      </c>
      <c r="L142" s="17">
        <v>5</v>
      </c>
      <c r="M142" s="17">
        <v>25</v>
      </c>
    </row>
    <row r="143" spans="1:13" ht="16.4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7">
        <v>5</v>
      </c>
      <c r="G143" s="8" t="s">
        <v>24</v>
      </c>
      <c r="H143" s="8" t="s">
        <v>23</v>
      </c>
      <c r="I143" s="17"/>
      <c r="J143" s="8" t="s">
        <v>23</v>
      </c>
      <c r="K143" s="17">
        <v>0</v>
      </c>
      <c r="L143" s="17">
        <v>0</v>
      </c>
      <c r="M143" s="17">
        <v>5</v>
      </c>
    </row>
    <row r="144" spans="1:13" ht="16.4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7">
        <v>15</v>
      </c>
      <c r="G144" s="8" t="s">
        <v>27</v>
      </c>
      <c r="H144" s="8" t="s">
        <v>19</v>
      </c>
      <c r="I144" s="17">
        <v>30</v>
      </c>
      <c r="J144" s="8" t="s">
        <v>19</v>
      </c>
      <c r="K144" s="17">
        <v>20</v>
      </c>
      <c r="L144" s="17">
        <v>20</v>
      </c>
      <c r="M144" s="17">
        <v>45</v>
      </c>
    </row>
    <row r="145" spans="1:13" ht="16.4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7">
        <v>10</v>
      </c>
      <c r="G145" s="8" t="s">
        <v>27</v>
      </c>
      <c r="H145" s="8" t="s">
        <v>23</v>
      </c>
      <c r="I145" s="17"/>
      <c r="J145" s="8" t="s">
        <v>19</v>
      </c>
      <c r="K145" s="17">
        <v>20</v>
      </c>
      <c r="L145" s="17">
        <v>12</v>
      </c>
      <c r="M145" s="17">
        <v>18</v>
      </c>
    </row>
    <row r="146" spans="1:13" ht="16.4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7">
        <v>5</v>
      </c>
      <c r="G146" s="8" t="s">
        <v>20</v>
      </c>
      <c r="H146" s="8" t="s">
        <v>23</v>
      </c>
      <c r="I146" s="17"/>
      <c r="J146" s="8" t="s">
        <v>23</v>
      </c>
      <c r="K146" s="17">
        <v>0</v>
      </c>
      <c r="L146" s="17">
        <v>2</v>
      </c>
      <c r="M146" s="17">
        <v>3</v>
      </c>
    </row>
    <row r="147" spans="1:13" ht="16.4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7">
        <v>15</v>
      </c>
      <c r="G147" s="8" t="s">
        <v>24</v>
      </c>
      <c r="H147" s="8" t="s">
        <v>19</v>
      </c>
      <c r="I147" s="17">
        <v>30</v>
      </c>
      <c r="J147" s="8" t="s">
        <v>19</v>
      </c>
      <c r="K147" s="17">
        <v>20</v>
      </c>
      <c r="L147" s="17">
        <v>5</v>
      </c>
      <c r="M147" s="17">
        <v>60</v>
      </c>
    </row>
    <row r="148" spans="1:13" ht="16.4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7">
        <v>10</v>
      </c>
      <c r="G148" s="8" t="s">
        <v>20</v>
      </c>
      <c r="H148" s="8" t="s">
        <v>23</v>
      </c>
      <c r="I148" s="17"/>
      <c r="J148" s="8" t="s">
        <v>19</v>
      </c>
      <c r="K148" s="17">
        <v>20</v>
      </c>
      <c r="L148" s="17">
        <v>10</v>
      </c>
      <c r="M148" s="17">
        <v>20</v>
      </c>
    </row>
    <row r="149" spans="1:13" ht="16.4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7">
        <v>5</v>
      </c>
      <c r="G149" s="8" t="s">
        <v>27</v>
      </c>
      <c r="H149" s="8" t="s">
        <v>23</v>
      </c>
      <c r="I149" s="17"/>
      <c r="J149" s="8" t="s">
        <v>23</v>
      </c>
      <c r="K149" s="17">
        <v>0</v>
      </c>
      <c r="L149" s="17">
        <v>0</v>
      </c>
      <c r="M149" s="17">
        <v>5</v>
      </c>
    </row>
    <row r="150" spans="1:13" ht="16.4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7">
        <v>15</v>
      </c>
      <c r="G150" s="8" t="s">
        <v>20</v>
      </c>
      <c r="H150" s="8" t="s">
        <v>19</v>
      </c>
      <c r="I150" s="17">
        <v>30</v>
      </c>
      <c r="J150" s="8" t="s">
        <v>19</v>
      </c>
      <c r="K150" s="17">
        <v>20</v>
      </c>
      <c r="L150" s="17">
        <v>3</v>
      </c>
      <c r="M150" s="17">
        <v>62</v>
      </c>
    </row>
    <row r="151" spans="1:13" ht="16.4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7">
        <v>10</v>
      </c>
      <c r="G151" s="8" t="s">
        <v>24</v>
      </c>
      <c r="H151" s="8" t="s">
        <v>23</v>
      </c>
      <c r="I151" s="17"/>
      <c r="J151" s="8" t="s">
        <v>19</v>
      </c>
      <c r="K151" s="17">
        <v>20</v>
      </c>
      <c r="L151" s="17">
        <v>15</v>
      </c>
      <c r="M151" s="17">
        <v>15</v>
      </c>
    </row>
    <row r="152" spans="1:13" ht="16.4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7">
        <v>5</v>
      </c>
      <c r="G152" s="8" t="s">
        <v>20</v>
      </c>
      <c r="H152" s="8" t="s">
        <v>23</v>
      </c>
      <c r="I152" s="17"/>
      <c r="J152" s="8" t="s">
        <v>23</v>
      </c>
      <c r="K152" s="17">
        <v>0</v>
      </c>
      <c r="L152" s="17">
        <v>1</v>
      </c>
      <c r="M152" s="17">
        <v>4</v>
      </c>
    </row>
    <row r="153" spans="1:13" ht="16.4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7">
        <v>15</v>
      </c>
      <c r="G153" s="8" t="s">
        <v>27</v>
      </c>
      <c r="H153" s="8" t="s">
        <v>19</v>
      </c>
      <c r="I153" s="17">
        <v>30</v>
      </c>
      <c r="J153" s="8" t="s">
        <v>19</v>
      </c>
      <c r="K153" s="17">
        <v>20</v>
      </c>
      <c r="L153" s="17">
        <v>7</v>
      </c>
      <c r="M153" s="17">
        <v>58</v>
      </c>
    </row>
    <row r="154" spans="1:13" ht="16.4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7">
        <v>10</v>
      </c>
      <c r="G154" s="8" t="s">
        <v>20</v>
      </c>
      <c r="H154" s="8" t="s">
        <v>23</v>
      </c>
      <c r="I154" s="17"/>
      <c r="J154" s="8" t="s">
        <v>19</v>
      </c>
      <c r="K154" s="17">
        <v>20</v>
      </c>
      <c r="L154" s="17">
        <v>10</v>
      </c>
      <c r="M154" s="17">
        <v>20</v>
      </c>
    </row>
    <row r="155" spans="1:13" ht="16.4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7">
        <v>5</v>
      </c>
      <c r="G155" s="8" t="s">
        <v>24</v>
      </c>
      <c r="H155" s="8" t="s">
        <v>23</v>
      </c>
      <c r="I155" s="17"/>
      <c r="J155" s="8" t="s">
        <v>23</v>
      </c>
      <c r="K155" s="17">
        <v>0</v>
      </c>
      <c r="L155" s="17">
        <v>0</v>
      </c>
      <c r="M155" s="17">
        <v>5</v>
      </c>
    </row>
    <row r="156" spans="1:13" ht="16.4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7">
        <v>15</v>
      </c>
      <c r="G156" s="8" t="s">
        <v>20</v>
      </c>
      <c r="H156" s="8" t="s">
        <v>19</v>
      </c>
      <c r="I156" s="17">
        <v>30</v>
      </c>
      <c r="J156" s="8" t="s">
        <v>19</v>
      </c>
      <c r="K156" s="17">
        <v>20</v>
      </c>
      <c r="L156" s="17">
        <v>20</v>
      </c>
      <c r="M156" s="17">
        <v>45</v>
      </c>
    </row>
    <row r="157" spans="1:13" ht="16.4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7">
        <v>10</v>
      </c>
      <c r="G157" s="8" t="s">
        <v>27</v>
      </c>
      <c r="H157" s="8" t="s">
        <v>23</v>
      </c>
      <c r="I157" s="17"/>
      <c r="J157" s="8" t="s">
        <v>19</v>
      </c>
      <c r="K157" s="17">
        <v>20</v>
      </c>
      <c r="L157" s="17">
        <v>15</v>
      </c>
      <c r="M157" s="17">
        <v>15</v>
      </c>
    </row>
    <row r="158" spans="1:13" ht="16.4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7">
        <v>5</v>
      </c>
      <c r="G158" s="8" t="s">
        <v>20</v>
      </c>
      <c r="H158" s="8" t="s">
        <v>23</v>
      </c>
      <c r="I158" s="17"/>
      <c r="J158" s="8" t="s">
        <v>23</v>
      </c>
      <c r="K158" s="17">
        <v>0</v>
      </c>
      <c r="L158" s="17">
        <v>1</v>
      </c>
      <c r="M158" s="17">
        <v>4</v>
      </c>
    </row>
    <row r="159" spans="1:13" ht="16.4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7">
        <v>15</v>
      </c>
      <c r="G159" s="8" t="s">
        <v>24</v>
      </c>
      <c r="H159" s="8" t="s">
        <v>19</v>
      </c>
      <c r="I159" s="17">
        <v>30</v>
      </c>
      <c r="J159" s="8" t="s">
        <v>19</v>
      </c>
      <c r="K159" s="17">
        <v>20</v>
      </c>
      <c r="L159" s="17">
        <v>3</v>
      </c>
      <c r="M159" s="17">
        <v>62</v>
      </c>
    </row>
    <row r="160" spans="1:13" ht="16.4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7">
        <v>10</v>
      </c>
      <c r="G160" s="8" t="s">
        <v>20</v>
      </c>
      <c r="H160" s="8" t="s">
        <v>23</v>
      </c>
      <c r="I160" s="17"/>
      <c r="J160" s="8" t="s">
        <v>19</v>
      </c>
      <c r="K160" s="17">
        <v>20</v>
      </c>
      <c r="L160" s="17">
        <v>10</v>
      </c>
      <c r="M160" s="17">
        <v>20</v>
      </c>
    </row>
    <row r="161" spans="1:13" ht="16.4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7">
        <v>5</v>
      </c>
      <c r="G161" s="8" t="s">
        <v>27</v>
      </c>
      <c r="H161" s="8" t="s">
        <v>23</v>
      </c>
      <c r="I161" s="17"/>
      <c r="J161" s="8" t="s">
        <v>23</v>
      </c>
      <c r="K161" s="17">
        <v>0</v>
      </c>
      <c r="L161" s="17">
        <v>0</v>
      </c>
      <c r="M161" s="17">
        <v>5</v>
      </c>
    </row>
    <row r="162" spans="1:13" ht="16.4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7">
        <v>15</v>
      </c>
      <c r="G162" s="8" t="s">
        <v>20</v>
      </c>
      <c r="H162" s="8" t="s">
        <v>19</v>
      </c>
      <c r="I162" s="17">
        <v>30</v>
      </c>
      <c r="J162" s="8" t="s">
        <v>19</v>
      </c>
      <c r="K162" s="17">
        <v>20</v>
      </c>
      <c r="L162" s="17">
        <v>15</v>
      </c>
      <c r="M162" s="17">
        <v>50</v>
      </c>
    </row>
    <row r="163" spans="1:13" ht="16.4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7">
        <v>10</v>
      </c>
      <c r="G163" s="8" t="s">
        <v>24</v>
      </c>
      <c r="H163" s="8" t="s">
        <v>23</v>
      </c>
      <c r="I163" s="17"/>
      <c r="J163" s="8" t="s">
        <v>19</v>
      </c>
      <c r="K163" s="17">
        <v>20</v>
      </c>
      <c r="L163" s="17">
        <v>15</v>
      </c>
      <c r="M163" s="17">
        <v>15</v>
      </c>
    </row>
    <row r="164" spans="1:13" ht="16.4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7">
        <v>5</v>
      </c>
      <c r="G164" s="8" t="s">
        <v>20</v>
      </c>
      <c r="H164" s="8" t="s">
        <v>23</v>
      </c>
      <c r="I164" s="17"/>
      <c r="J164" s="8" t="s">
        <v>23</v>
      </c>
      <c r="K164" s="17">
        <v>0</v>
      </c>
      <c r="L164" s="17">
        <v>1</v>
      </c>
      <c r="M164" s="17">
        <v>4</v>
      </c>
    </row>
    <row r="165" spans="1:13" ht="16.4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7">
        <v>15</v>
      </c>
      <c r="G165" s="8" t="s">
        <v>27</v>
      </c>
      <c r="H165" s="8" t="s">
        <v>19</v>
      </c>
      <c r="I165" s="17">
        <v>30</v>
      </c>
      <c r="J165" s="8" t="s">
        <v>19</v>
      </c>
      <c r="K165" s="17">
        <v>20</v>
      </c>
      <c r="L165" s="17">
        <v>7</v>
      </c>
      <c r="M165" s="17">
        <v>58</v>
      </c>
    </row>
    <row r="166" spans="1:13" ht="16.4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7">
        <v>10</v>
      </c>
      <c r="G166" s="8" t="s">
        <v>20</v>
      </c>
      <c r="H166" s="8" t="s">
        <v>23</v>
      </c>
      <c r="I166" s="17"/>
      <c r="J166" s="8" t="s">
        <v>19</v>
      </c>
      <c r="K166" s="17">
        <v>20</v>
      </c>
      <c r="L166" s="17">
        <v>10</v>
      </c>
      <c r="M166" s="17">
        <v>20</v>
      </c>
    </row>
    <row r="167" spans="1:13" ht="16.4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7">
        <v>5</v>
      </c>
      <c r="G167" s="8" t="s">
        <v>24</v>
      </c>
      <c r="H167" s="8" t="s">
        <v>23</v>
      </c>
      <c r="I167" s="17"/>
      <c r="J167" s="8" t="s">
        <v>23</v>
      </c>
      <c r="K167" s="17">
        <v>0</v>
      </c>
      <c r="L167" s="17">
        <v>0</v>
      </c>
      <c r="M167" s="17">
        <v>5</v>
      </c>
    </row>
    <row r="168" spans="1:13" ht="16.4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7">
        <v>15</v>
      </c>
      <c r="G168" s="8" t="s">
        <v>20</v>
      </c>
      <c r="H168" s="8" t="s">
        <v>19</v>
      </c>
      <c r="I168" s="17">
        <v>30</v>
      </c>
      <c r="J168" s="8" t="s">
        <v>19</v>
      </c>
      <c r="K168" s="17">
        <v>20</v>
      </c>
      <c r="L168" s="17">
        <v>20</v>
      </c>
      <c r="M168" s="17">
        <v>45</v>
      </c>
    </row>
    <row r="169" spans="1:13" ht="16.4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7">
        <v>10</v>
      </c>
      <c r="G169" s="8" t="s">
        <v>27</v>
      </c>
      <c r="H169" s="8" t="s">
        <v>23</v>
      </c>
      <c r="I169" s="17"/>
      <c r="J169" s="8" t="s">
        <v>19</v>
      </c>
      <c r="K169" s="17">
        <v>20</v>
      </c>
      <c r="L169" s="17">
        <v>15</v>
      </c>
      <c r="M169" s="17">
        <v>15</v>
      </c>
    </row>
    <row r="170" spans="1:13" ht="16.4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7">
        <v>5</v>
      </c>
      <c r="G170" s="8" t="s">
        <v>20</v>
      </c>
      <c r="H170" s="8" t="s">
        <v>23</v>
      </c>
      <c r="I170" s="17"/>
      <c r="J170" s="8" t="s">
        <v>23</v>
      </c>
      <c r="K170" s="17">
        <v>0</v>
      </c>
      <c r="L170" s="17">
        <v>1</v>
      </c>
      <c r="M170" s="17">
        <v>4</v>
      </c>
    </row>
    <row r="171" spans="1:13" ht="16.4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7">
        <v>15</v>
      </c>
      <c r="G171" s="8" t="s">
        <v>24</v>
      </c>
      <c r="H171" s="8" t="s">
        <v>19</v>
      </c>
      <c r="I171" s="17">
        <v>30</v>
      </c>
      <c r="J171" s="8" t="s">
        <v>19</v>
      </c>
      <c r="K171" s="17">
        <v>20</v>
      </c>
      <c r="L171" s="17">
        <v>5</v>
      </c>
      <c r="M171" s="17">
        <v>60</v>
      </c>
    </row>
    <row r="172" spans="1:13" ht="16.4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7">
        <v>10</v>
      </c>
      <c r="G172" s="8" t="s">
        <v>20</v>
      </c>
      <c r="H172" s="8" t="s">
        <v>23</v>
      </c>
      <c r="I172" s="17"/>
      <c r="J172" s="8" t="s">
        <v>19</v>
      </c>
      <c r="K172" s="17">
        <v>20</v>
      </c>
      <c r="L172" s="17">
        <v>10</v>
      </c>
      <c r="M172" s="17">
        <v>20</v>
      </c>
    </row>
    <row r="173" spans="1:13" ht="16.4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7">
        <v>5</v>
      </c>
      <c r="G173" s="8" t="s">
        <v>27</v>
      </c>
      <c r="H173" s="8" t="s">
        <v>23</v>
      </c>
      <c r="I173" s="17"/>
      <c r="J173" s="8" t="s">
        <v>23</v>
      </c>
      <c r="K173" s="17">
        <v>0</v>
      </c>
      <c r="L173" s="17">
        <v>0</v>
      </c>
      <c r="M173" s="17">
        <v>5</v>
      </c>
    </row>
    <row r="174" spans="1:13" ht="16.4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7">
        <v>15</v>
      </c>
      <c r="G174" s="8" t="s">
        <v>20</v>
      </c>
      <c r="H174" s="8" t="s">
        <v>19</v>
      </c>
      <c r="I174" s="17">
        <v>30</v>
      </c>
      <c r="J174" s="8" t="s">
        <v>19</v>
      </c>
      <c r="K174" s="17">
        <v>20</v>
      </c>
      <c r="L174" s="17">
        <v>3</v>
      </c>
      <c r="M174" s="17">
        <v>62</v>
      </c>
    </row>
    <row r="175" spans="1:13" ht="16.4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7">
        <v>10</v>
      </c>
      <c r="G175" s="8" t="s">
        <v>24</v>
      </c>
      <c r="H175" s="8" t="s">
        <v>23</v>
      </c>
      <c r="I175" s="17"/>
      <c r="J175" s="8" t="s">
        <v>19</v>
      </c>
      <c r="K175" s="17">
        <v>20</v>
      </c>
      <c r="L175" s="17">
        <v>15</v>
      </c>
      <c r="M175" s="17">
        <v>15</v>
      </c>
    </row>
    <row r="176" spans="1:13" ht="16.4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7">
        <v>5</v>
      </c>
      <c r="G176" s="8" t="s">
        <v>20</v>
      </c>
      <c r="H176" s="8" t="s">
        <v>23</v>
      </c>
      <c r="I176" s="17"/>
      <c r="J176" s="8" t="s">
        <v>23</v>
      </c>
      <c r="K176" s="17">
        <v>0</v>
      </c>
      <c r="L176" s="17">
        <v>1</v>
      </c>
      <c r="M176" s="17">
        <v>4</v>
      </c>
    </row>
    <row r="177" spans="1:13" ht="16.4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7">
        <v>5</v>
      </c>
      <c r="G177" s="8" t="s">
        <v>20</v>
      </c>
      <c r="H177" s="8" t="s">
        <v>23</v>
      </c>
      <c r="I177" s="17"/>
      <c r="J177" s="8" t="s">
        <v>23</v>
      </c>
      <c r="K177" s="17">
        <v>0</v>
      </c>
      <c r="L177" s="17">
        <v>0</v>
      </c>
      <c r="M177" s="17">
        <v>5</v>
      </c>
    </row>
    <row r="178" spans="1:13" ht="16.4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7">
        <v>15</v>
      </c>
      <c r="G178" s="8" t="s">
        <v>27</v>
      </c>
      <c r="H178" s="8" t="s">
        <v>19</v>
      </c>
      <c r="I178" s="17">
        <v>30</v>
      </c>
      <c r="J178" s="8" t="s">
        <v>19</v>
      </c>
      <c r="K178" s="17">
        <v>20</v>
      </c>
      <c r="L178" s="17">
        <v>7</v>
      </c>
      <c r="M178" s="17">
        <v>58</v>
      </c>
    </row>
    <row r="179" spans="1:13" ht="16.4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7">
        <v>10</v>
      </c>
      <c r="G179" s="8" t="s">
        <v>24</v>
      </c>
      <c r="H179" s="8" t="s">
        <v>23</v>
      </c>
      <c r="I179" s="17"/>
      <c r="J179" s="8" t="s">
        <v>19</v>
      </c>
      <c r="K179" s="17">
        <v>20</v>
      </c>
      <c r="L179" s="17">
        <v>10</v>
      </c>
      <c r="M179" s="17">
        <v>20</v>
      </c>
    </row>
    <row r="180" spans="1:13" ht="16.4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7">
        <v>5</v>
      </c>
      <c r="G180" s="8" t="s">
        <v>27</v>
      </c>
      <c r="H180" s="8" t="s">
        <v>23</v>
      </c>
      <c r="I180" s="17"/>
      <c r="J180" s="8" t="s">
        <v>23</v>
      </c>
      <c r="K180" s="17">
        <v>0</v>
      </c>
      <c r="L180" s="17">
        <v>1</v>
      </c>
      <c r="M180" s="17">
        <v>4</v>
      </c>
    </row>
    <row r="181" spans="1:13" ht="16.4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7">
        <v>15</v>
      </c>
      <c r="G181" s="8" t="s">
        <v>20</v>
      </c>
      <c r="H181" s="8" t="s">
        <v>19</v>
      </c>
      <c r="I181" s="17">
        <v>30</v>
      </c>
      <c r="J181" s="8" t="s">
        <v>19</v>
      </c>
      <c r="K181" s="17">
        <v>20</v>
      </c>
      <c r="L181" s="17">
        <v>15</v>
      </c>
      <c r="M181" s="17">
        <v>50</v>
      </c>
    </row>
    <row r="182" spans="1:13" ht="16.4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7">
        <v>10</v>
      </c>
      <c r="G182" s="8" t="s">
        <v>20</v>
      </c>
      <c r="H182" s="8" t="s">
        <v>23</v>
      </c>
      <c r="I182" s="17"/>
      <c r="J182" s="8" t="s">
        <v>19</v>
      </c>
      <c r="K182" s="17">
        <v>20</v>
      </c>
      <c r="L182" s="17">
        <v>5</v>
      </c>
      <c r="M182" s="17">
        <v>25</v>
      </c>
    </row>
    <row r="183" spans="1:13" ht="16.4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7">
        <v>5</v>
      </c>
      <c r="G183" s="8" t="s">
        <v>24</v>
      </c>
      <c r="H183" s="8" t="s">
        <v>23</v>
      </c>
      <c r="I183" s="17"/>
      <c r="J183" s="8" t="s">
        <v>23</v>
      </c>
      <c r="K183" s="17">
        <v>0</v>
      </c>
      <c r="L183" s="17">
        <v>0</v>
      </c>
      <c r="M183" s="17">
        <v>5</v>
      </c>
    </row>
    <row r="184" spans="1:13" ht="16.4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7">
        <v>15</v>
      </c>
      <c r="G184" s="8" t="s">
        <v>27</v>
      </c>
      <c r="H184" s="8" t="s">
        <v>19</v>
      </c>
      <c r="I184" s="17">
        <v>30</v>
      </c>
      <c r="J184" s="8" t="s">
        <v>19</v>
      </c>
      <c r="K184" s="17">
        <v>20</v>
      </c>
      <c r="L184" s="17">
        <v>20</v>
      </c>
      <c r="M184" s="17">
        <v>45</v>
      </c>
    </row>
    <row r="185" spans="1:13" ht="16.4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7">
        <v>10</v>
      </c>
      <c r="G185" s="8" t="s">
        <v>27</v>
      </c>
      <c r="H185" s="8" t="s">
        <v>23</v>
      </c>
      <c r="I185" s="17"/>
      <c r="J185" s="8" t="s">
        <v>19</v>
      </c>
      <c r="K185" s="17">
        <v>20</v>
      </c>
      <c r="L185" s="17">
        <v>12</v>
      </c>
      <c r="M185" s="17">
        <v>18</v>
      </c>
    </row>
    <row r="186" spans="1:13" ht="16.4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7">
        <v>5</v>
      </c>
      <c r="G186" s="8" t="s">
        <v>20</v>
      </c>
      <c r="H186" s="8" t="s">
        <v>23</v>
      </c>
      <c r="I186" s="17"/>
      <c r="J186" s="8" t="s">
        <v>23</v>
      </c>
      <c r="K186" s="17">
        <v>0</v>
      </c>
      <c r="L186" s="17">
        <v>2</v>
      </c>
      <c r="M186" s="17">
        <v>3</v>
      </c>
    </row>
    <row r="187" spans="1:13" ht="16.4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7">
        <v>15</v>
      </c>
      <c r="G187" s="8" t="s">
        <v>24</v>
      </c>
      <c r="H187" s="8" t="s">
        <v>19</v>
      </c>
      <c r="I187" s="17">
        <v>30</v>
      </c>
      <c r="J187" s="8" t="s">
        <v>19</v>
      </c>
      <c r="K187" s="17">
        <v>20</v>
      </c>
      <c r="L187" s="17">
        <v>5</v>
      </c>
      <c r="M187" s="17">
        <v>60</v>
      </c>
    </row>
    <row r="188" spans="1:13" ht="16.4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7">
        <v>10</v>
      </c>
      <c r="G188" s="8" t="s">
        <v>20</v>
      </c>
      <c r="H188" s="8" t="s">
        <v>23</v>
      </c>
      <c r="I188" s="17"/>
      <c r="J188" s="8" t="s">
        <v>19</v>
      </c>
      <c r="K188" s="17">
        <v>20</v>
      </c>
      <c r="L188" s="17">
        <v>10</v>
      </c>
      <c r="M188" s="17">
        <v>20</v>
      </c>
    </row>
    <row r="189" spans="1:13" ht="16.4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7">
        <v>5</v>
      </c>
      <c r="G189" s="8" t="s">
        <v>27</v>
      </c>
      <c r="H189" s="8" t="s">
        <v>23</v>
      </c>
      <c r="I189" s="17"/>
      <c r="J189" s="8" t="s">
        <v>23</v>
      </c>
      <c r="K189" s="17">
        <v>0</v>
      </c>
      <c r="L189" s="17">
        <v>0</v>
      </c>
      <c r="M189" s="17">
        <v>5</v>
      </c>
    </row>
    <row r="190" spans="1:13" ht="16.4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7">
        <v>15</v>
      </c>
      <c r="G190" s="8" t="s">
        <v>20</v>
      </c>
      <c r="H190" s="8" t="s">
        <v>19</v>
      </c>
      <c r="I190" s="17">
        <v>30</v>
      </c>
      <c r="J190" s="8" t="s">
        <v>19</v>
      </c>
      <c r="K190" s="17">
        <v>20</v>
      </c>
      <c r="L190" s="17">
        <v>3</v>
      </c>
      <c r="M190" s="17">
        <v>62</v>
      </c>
    </row>
    <row r="191" spans="1:13" ht="16.4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7">
        <v>10</v>
      </c>
      <c r="G191" s="8" t="s">
        <v>24</v>
      </c>
      <c r="H191" s="8" t="s">
        <v>23</v>
      </c>
      <c r="I191" s="17"/>
      <c r="J191" s="8" t="s">
        <v>19</v>
      </c>
      <c r="K191" s="17">
        <v>20</v>
      </c>
      <c r="L191" s="17">
        <v>15</v>
      </c>
      <c r="M191" s="17">
        <v>15</v>
      </c>
    </row>
    <row r="192" spans="1:13" ht="16.4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7">
        <v>5</v>
      </c>
      <c r="G192" s="8" t="s">
        <v>20</v>
      </c>
      <c r="H192" s="8" t="s">
        <v>23</v>
      </c>
      <c r="I192" s="17"/>
      <c r="J192" s="8" t="s">
        <v>23</v>
      </c>
      <c r="K192" s="17">
        <v>0</v>
      </c>
      <c r="L192" s="17">
        <v>1</v>
      </c>
      <c r="M192" s="17">
        <v>4</v>
      </c>
    </row>
    <row r="193" spans="1:13" ht="16.4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7">
        <v>15</v>
      </c>
      <c r="G193" s="8" t="s">
        <v>27</v>
      </c>
      <c r="H193" s="8" t="s">
        <v>19</v>
      </c>
      <c r="I193" s="17">
        <v>30</v>
      </c>
      <c r="J193" s="8" t="s">
        <v>19</v>
      </c>
      <c r="K193" s="17">
        <v>20</v>
      </c>
      <c r="L193" s="17">
        <v>7</v>
      </c>
      <c r="M193" s="17">
        <v>58</v>
      </c>
    </row>
    <row r="194" spans="1:13" ht="16.4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7">
        <v>10</v>
      </c>
      <c r="G194" s="8" t="s">
        <v>20</v>
      </c>
      <c r="H194" s="8" t="s">
        <v>23</v>
      </c>
      <c r="I194" s="17"/>
      <c r="J194" s="8" t="s">
        <v>19</v>
      </c>
      <c r="K194" s="17">
        <v>20</v>
      </c>
      <c r="L194" s="17">
        <v>10</v>
      </c>
      <c r="M194" s="17">
        <v>20</v>
      </c>
    </row>
    <row r="195" spans="1:13" ht="16.4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7">
        <v>5</v>
      </c>
      <c r="G195" s="8" t="s">
        <v>24</v>
      </c>
      <c r="H195" s="8" t="s">
        <v>23</v>
      </c>
      <c r="I195" s="17"/>
      <c r="J195" s="8" t="s">
        <v>23</v>
      </c>
      <c r="K195" s="17">
        <v>0</v>
      </c>
      <c r="L195" s="17">
        <v>0</v>
      </c>
      <c r="M195" s="17">
        <v>5</v>
      </c>
    </row>
    <row r="196" spans="1:13" ht="16.4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7">
        <v>15</v>
      </c>
      <c r="G196" s="8" t="s">
        <v>20</v>
      </c>
      <c r="H196" s="8" t="s">
        <v>19</v>
      </c>
      <c r="I196" s="17">
        <v>30</v>
      </c>
      <c r="J196" s="8" t="s">
        <v>19</v>
      </c>
      <c r="K196" s="17">
        <v>20</v>
      </c>
      <c r="L196" s="17">
        <v>20</v>
      </c>
      <c r="M196" s="17">
        <v>45</v>
      </c>
    </row>
    <row r="197" spans="1:13" ht="16.4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7">
        <v>10</v>
      </c>
      <c r="G197" s="8" t="s">
        <v>27</v>
      </c>
      <c r="H197" s="8" t="s">
        <v>23</v>
      </c>
      <c r="I197" s="17"/>
      <c r="J197" s="8" t="s">
        <v>19</v>
      </c>
      <c r="K197" s="17">
        <v>20</v>
      </c>
      <c r="L197" s="17">
        <v>15</v>
      </c>
      <c r="M197" s="17">
        <v>15</v>
      </c>
    </row>
    <row r="198" spans="1:13" ht="16.4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7">
        <v>5</v>
      </c>
      <c r="G198" s="8" t="s">
        <v>20</v>
      </c>
      <c r="H198" s="8" t="s">
        <v>23</v>
      </c>
      <c r="I198" s="17"/>
      <c r="J198" s="8" t="s">
        <v>23</v>
      </c>
      <c r="K198" s="17">
        <v>0</v>
      </c>
      <c r="L198" s="17">
        <v>1</v>
      </c>
      <c r="M198" s="17">
        <v>4</v>
      </c>
    </row>
    <row r="199" spans="1:13" ht="16.4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7">
        <v>15</v>
      </c>
      <c r="G199" s="8" t="s">
        <v>24</v>
      </c>
      <c r="H199" s="8" t="s">
        <v>19</v>
      </c>
      <c r="I199" s="17">
        <v>30</v>
      </c>
      <c r="J199" s="8" t="s">
        <v>19</v>
      </c>
      <c r="K199" s="17">
        <v>20</v>
      </c>
      <c r="L199" s="17">
        <v>3</v>
      </c>
      <c r="M199" s="17">
        <v>62</v>
      </c>
    </row>
    <row r="200" spans="1:13" ht="16.4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7">
        <v>10</v>
      </c>
      <c r="G200" s="8" t="s">
        <v>20</v>
      </c>
      <c r="H200" s="8" t="s">
        <v>23</v>
      </c>
      <c r="I200" s="17"/>
      <c r="J200" s="8" t="s">
        <v>19</v>
      </c>
      <c r="K200" s="17">
        <v>20</v>
      </c>
      <c r="L200" s="17">
        <v>10</v>
      </c>
      <c r="M200" s="17">
        <v>20</v>
      </c>
    </row>
    <row r="201" spans="1:13" ht="16.4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7">
        <v>5</v>
      </c>
      <c r="G201" s="8" t="s">
        <v>27</v>
      </c>
      <c r="H201" s="8" t="s">
        <v>23</v>
      </c>
      <c r="I201" s="17"/>
      <c r="J201" s="8" t="s">
        <v>23</v>
      </c>
      <c r="K201" s="17">
        <v>0</v>
      </c>
      <c r="L201" s="17">
        <v>0</v>
      </c>
      <c r="M201" s="17">
        <v>5</v>
      </c>
    </row>
    <row r="202" spans="1:13" ht="16.4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7">
        <v>15</v>
      </c>
      <c r="G202" s="8" t="s">
        <v>20</v>
      </c>
      <c r="H202" s="8" t="s">
        <v>19</v>
      </c>
      <c r="I202" s="17">
        <v>30</v>
      </c>
      <c r="J202" s="8" t="s">
        <v>19</v>
      </c>
      <c r="K202" s="17">
        <v>20</v>
      </c>
      <c r="L202" s="17">
        <v>15</v>
      </c>
      <c r="M202" s="17">
        <v>50</v>
      </c>
    </row>
    <row r="203" spans="1:13" ht="16.4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7">
        <v>10</v>
      </c>
      <c r="G203" s="8" t="s">
        <v>24</v>
      </c>
      <c r="H203" s="8" t="s">
        <v>23</v>
      </c>
      <c r="I203" s="17"/>
      <c r="J203" s="8" t="s">
        <v>19</v>
      </c>
      <c r="K203" s="17">
        <v>20</v>
      </c>
      <c r="L203" s="17">
        <v>15</v>
      </c>
      <c r="M203" s="17">
        <v>15</v>
      </c>
    </row>
    <row r="204" spans="1:13" ht="16.4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7">
        <v>5</v>
      </c>
      <c r="G204" s="8" t="s">
        <v>20</v>
      </c>
      <c r="H204" s="8" t="s">
        <v>23</v>
      </c>
      <c r="I204" s="17"/>
      <c r="J204" s="8" t="s">
        <v>23</v>
      </c>
      <c r="K204" s="17">
        <v>0</v>
      </c>
      <c r="L204" s="17">
        <v>1</v>
      </c>
      <c r="M204" s="17">
        <v>4</v>
      </c>
    </row>
    <row r="205" spans="1:13" ht="16.4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7">
        <v>15</v>
      </c>
      <c r="G205" s="8" t="s">
        <v>27</v>
      </c>
      <c r="H205" s="8" t="s">
        <v>19</v>
      </c>
      <c r="I205" s="17">
        <v>30</v>
      </c>
      <c r="J205" s="8" t="s">
        <v>19</v>
      </c>
      <c r="K205" s="17">
        <v>20</v>
      </c>
      <c r="L205" s="17">
        <v>7</v>
      </c>
      <c r="M205" s="17">
        <v>58</v>
      </c>
    </row>
    <row r="206" spans="1:13" ht="16.4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7">
        <v>10</v>
      </c>
      <c r="G206" s="8" t="s">
        <v>20</v>
      </c>
      <c r="H206" s="8" t="s">
        <v>23</v>
      </c>
      <c r="I206" s="17"/>
      <c r="J206" s="8" t="s">
        <v>19</v>
      </c>
      <c r="K206" s="17">
        <v>20</v>
      </c>
      <c r="L206" s="17">
        <v>10</v>
      </c>
      <c r="M206" s="17">
        <v>20</v>
      </c>
    </row>
    <row r="207" spans="1:13" ht="16.4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7">
        <v>5</v>
      </c>
      <c r="G207" s="8" t="s">
        <v>20</v>
      </c>
      <c r="H207" s="8" t="s">
        <v>23</v>
      </c>
      <c r="I207" s="17"/>
      <c r="J207" s="8" t="s">
        <v>23</v>
      </c>
      <c r="K207" s="17">
        <v>0</v>
      </c>
      <c r="L207" s="17">
        <v>0</v>
      </c>
      <c r="M207" s="17">
        <v>5</v>
      </c>
    </row>
    <row r="208" spans="1:13" ht="16.4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7">
        <v>15</v>
      </c>
      <c r="G208" s="8" t="s">
        <v>27</v>
      </c>
      <c r="H208" s="8" t="s">
        <v>19</v>
      </c>
      <c r="I208" s="17">
        <v>30</v>
      </c>
      <c r="J208" s="8" t="s">
        <v>19</v>
      </c>
      <c r="K208" s="17">
        <v>20</v>
      </c>
      <c r="L208" s="17">
        <v>7</v>
      </c>
      <c r="M208" s="17">
        <v>58</v>
      </c>
    </row>
    <row r="209" spans="1:13" ht="16.4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7">
        <v>10</v>
      </c>
      <c r="G209" s="8" t="s">
        <v>24</v>
      </c>
      <c r="H209" s="8" t="s">
        <v>23</v>
      </c>
      <c r="I209" s="17"/>
      <c r="J209" s="8" t="s">
        <v>19</v>
      </c>
      <c r="K209" s="17">
        <v>20</v>
      </c>
      <c r="L209" s="17">
        <v>10</v>
      </c>
      <c r="M209" s="17">
        <v>20</v>
      </c>
    </row>
    <row r="210" spans="1:13" ht="16.4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7">
        <v>5</v>
      </c>
      <c r="G210" s="8" t="s">
        <v>27</v>
      </c>
      <c r="H210" s="8" t="s">
        <v>23</v>
      </c>
      <c r="I210" s="17"/>
      <c r="J210" s="8" t="s">
        <v>23</v>
      </c>
      <c r="K210" s="17">
        <v>0</v>
      </c>
      <c r="L210" s="17">
        <v>1</v>
      </c>
      <c r="M210" s="17">
        <v>4</v>
      </c>
    </row>
    <row r="211" spans="1:13" ht="16.4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7">
        <v>15</v>
      </c>
      <c r="G211" s="8" t="s">
        <v>20</v>
      </c>
      <c r="H211" s="8" t="s">
        <v>19</v>
      </c>
      <c r="I211" s="17">
        <v>30</v>
      </c>
      <c r="J211" s="8" t="s">
        <v>19</v>
      </c>
      <c r="K211" s="17">
        <v>20</v>
      </c>
      <c r="L211" s="17">
        <v>15</v>
      </c>
      <c r="M211" s="17">
        <v>50</v>
      </c>
    </row>
    <row r="212" spans="1:13" ht="16.4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7">
        <v>10</v>
      </c>
      <c r="G212" s="8" t="s">
        <v>20</v>
      </c>
      <c r="H212" s="8" t="s">
        <v>23</v>
      </c>
      <c r="I212" s="17"/>
      <c r="J212" s="8" t="s">
        <v>19</v>
      </c>
      <c r="K212" s="17">
        <v>20</v>
      </c>
      <c r="L212" s="17">
        <v>5</v>
      </c>
      <c r="M212" s="17">
        <v>25</v>
      </c>
    </row>
    <row r="213" spans="1:13" ht="16.4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7">
        <v>5</v>
      </c>
      <c r="G213" s="8" t="s">
        <v>24</v>
      </c>
      <c r="H213" s="8" t="s">
        <v>23</v>
      </c>
      <c r="I213" s="17"/>
      <c r="J213" s="8" t="s">
        <v>23</v>
      </c>
      <c r="K213" s="17">
        <v>0</v>
      </c>
      <c r="L213" s="17">
        <v>0</v>
      </c>
      <c r="M213" s="17">
        <v>5</v>
      </c>
    </row>
    <row r="214" spans="1:13" ht="16.4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7">
        <v>15</v>
      </c>
      <c r="G214" s="8" t="s">
        <v>27</v>
      </c>
      <c r="H214" s="8" t="s">
        <v>19</v>
      </c>
      <c r="I214" s="17">
        <v>30</v>
      </c>
      <c r="J214" s="8" t="s">
        <v>19</v>
      </c>
      <c r="K214" s="17">
        <v>20</v>
      </c>
      <c r="L214" s="17">
        <v>20</v>
      </c>
      <c r="M214" s="17">
        <v>45</v>
      </c>
    </row>
    <row r="215" spans="1:13" ht="16.4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7">
        <v>10</v>
      </c>
      <c r="G215" s="8" t="s">
        <v>27</v>
      </c>
      <c r="H215" s="8" t="s">
        <v>23</v>
      </c>
      <c r="I215" s="17"/>
      <c r="J215" s="8" t="s">
        <v>19</v>
      </c>
      <c r="K215" s="17">
        <v>20</v>
      </c>
      <c r="L215" s="17">
        <v>12</v>
      </c>
      <c r="M215" s="17">
        <v>18</v>
      </c>
    </row>
    <row r="216" spans="1:13" ht="16.4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7">
        <v>5</v>
      </c>
      <c r="G216" s="8" t="s">
        <v>20</v>
      </c>
      <c r="H216" s="8" t="s">
        <v>23</v>
      </c>
      <c r="I216" s="17"/>
      <c r="J216" s="8" t="s">
        <v>23</v>
      </c>
      <c r="K216" s="17">
        <v>0</v>
      </c>
      <c r="L216" s="17">
        <v>2</v>
      </c>
      <c r="M216" s="17">
        <v>3</v>
      </c>
    </row>
    <row r="217" spans="1:13" ht="16.4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7">
        <v>15</v>
      </c>
      <c r="G217" s="8" t="s">
        <v>24</v>
      </c>
      <c r="H217" s="8" t="s">
        <v>19</v>
      </c>
      <c r="I217" s="17">
        <v>30</v>
      </c>
      <c r="J217" s="8" t="s">
        <v>19</v>
      </c>
      <c r="K217" s="17">
        <v>20</v>
      </c>
      <c r="L217" s="17">
        <v>5</v>
      </c>
      <c r="M217" s="17">
        <v>60</v>
      </c>
    </row>
    <row r="218" spans="1:13" ht="16.4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7">
        <v>10</v>
      </c>
      <c r="G218" s="8" t="s">
        <v>20</v>
      </c>
      <c r="H218" s="8" t="s">
        <v>23</v>
      </c>
      <c r="I218" s="17"/>
      <c r="J218" s="8" t="s">
        <v>19</v>
      </c>
      <c r="K218" s="17">
        <v>20</v>
      </c>
      <c r="L218" s="17">
        <v>10</v>
      </c>
      <c r="M218" s="17">
        <v>20</v>
      </c>
    </row>
    <row r="219" spans="1:13" ht="16.4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7">
        <v>5</v>
      </c>
      <c r="G219" s="8" t="s">
        <v>27</v>
      </c>
      <c r="H219" s="8" t="s">
        <v>23</v>
      </c>
      <c r="I219" s="17"/>
      <c r="J219" s="8" t="s">
        <v>23</v>
      </c>
      <c r="K219" s="17">
        <v>0</v>
      </c>
      <c r="L219" s="17">
        <v>0</v>
      </c>
      <c r="M219" s="17">
        <v>5</v>
      </c>
    </row>
    <row r="220" spans="1:13" ht="16.4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7">
        <v>15</v>
      </c>
      <c r="G220" s="8" t="s">
        <v>20</v>
      </c>
      <c r="H220" s="8" t="s">
        <v>19</v>
      </c>
      <c r="I220" s="17">
        <v>30</v>
      </c>
      <c r="J220" s="8" t="s">
        <v>19</v>
      </c>
      <c r="K220" s="17">
        <v>20</v>
      </c>
      <c r="L220" s="17">
        <v>3</v>
      </c>
      <c r="M220" s="17">
        <v>62</v>
      </c>
    </row>
    <row r="221" spans="1:13" ht="16.4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7">
        <v>10</v>
      </c>
      <c r="G221" s="8" t="s">
        <v>24</v>
      </c>
      <c r="H221" s="8" t="s">
        <v>23</v>
      </c>
      <c r="I221" s="17"/>
      <c r="J221" s="8" t="s">
        <v>19</v>
      </c>
      <c r="K221" s="17">
        <v>20</v>
      </c>
      <c r="L221" s="17">
        <v>15</v>
      </c>
      <c r="M221" s="17">
        <v>15</v>
      </c>
    </row>
    <row r="222" spans="1:13" ht="16.4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7">
        <v>5</v>
      </c>
      <c r="G222" s="8" t="s">
        <v>20</v>
      </c>
      <c r="H222" s="8" t="s">
        <v>23</v>
      </c>
      <c r="I222" s="17"/>
      <c r="J222" s="8" t="s">
        <v>23</v>
      </c>
      <c r="K222" s="17">
        <v>0</v>
      </c>
      <c r="L222" s="17">
        <v>1</v>
      </c>
      <c r="M222" s="17">
        <v>4</v>
      </c>
    </row>
    <row r="223" spans="1:13" ht="16.4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7">
        <v>15</v>
      </c>
      <c r="G223" s="8" t="s">
        <v>27</v>
      </c>
      <c r="H223" s="8" t="s">
        <v>19</v>
      </c>
      <c r="I223" s="17">
        <v>30</v>
      </c>
      <c r="J223" s="8" t="s">
        <v>19</v>
      </c>
      <c r="K223" s="17">
        <v>20</v>
      </c>
      <c r="L223" s="17">
        <v>7</v>
      </c>
      <c r="M223" s="17">
        <v>58</v>
      </c>
    </row>
    <row r="224" spans="1:13" ht="16.4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7">
        <v>10</v>
      </c>
      <c r="G224" s="8" t="s">
        <v>20</v>
      </c>
      <c r="H224" s="8" t="s">
        <v>23</v>
      </c>
      <c r="I224" s="17"/>
      <c r="J224" s="8" t="s">
        <v>19</v>
      </c>
      <c r="K224" s="17">
        <v>20</v>
      </c>
      <c r="L224" s="17">
        <v>10</v>
      </c>
      <c r="M224" s="17">
        <v>20</v>
      </c>
    </row>
    <row r="225" spans="1:13" ht="16.4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7">
        <v>5</v>
      </c>
      <c r="G225" s="8" t="s">
        <v>24</v>
      </c>
      <c r="H225" s="8" t="s">
        <v>23</v>
      </c>
      <c r="I225" s="17"/>
      <c r="J225" s="8" t="s">
        <v>23</v>
      </c>
      <c r="K225" s="17">
        <v>0</v>
      </c>
      <c r="L225" s="17">
        <v>0</v>
      </c>
      <c r="M225" s="17">
        <v>5</v>
      </c>
    </row>
    <row r="226" spans="1:13" ht="16.4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7">
        <v>15</v>
      </c>
      <c r="G226" s="8" t="s">
        <v>20</v>
      </c>
      <c r="H226" s="8" t="s">
        <v>19</v>
      </c>
      <c r="I226" s="17">
        <v>30</v>
      </c>
      <c r="J226" s="8" t="s">
        <v>19</v>
      </c>
      <c r="K226" s="17">
        <v>20</v>
      </c>
      <c r="L226" s="17">
        <v>20</v>
      </c>
      <c r="M226" s="17">
        <v>45</v>
      </c>
    </row>
    <row r="227" spans="1:13" ht="16.4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7">
        <v>10</v>
      </c>
      <c r="G227" s="8" t="s">
        <v>27</v>
      </c>
      <c r="H227" s="8" t="s">
        <v>23</v>
      </c>
      <c r="I227" s="17"/>
      <c r="J227" s="8" t="s">
        <v>19</v>
      </c>
      <c r="K227" s="17">
        <v>20</v>
      </c>
      <c r="L227" s="17">
        <v>15</v>
      </c>
      <c r="M227" s="17">
        <v>15</v>
      </c>
    </row>
    <row r="228" spans="1:13" ht="16.4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7">
        <v>5</v>
      </c>
      <c r="G228" s="8" t="s">
        <v>20</v>
      </c>
      <c r="H228" s="8" t="s">
        <v>23</v>
      </c>
      <c r="I228" s="17"/>
      <c r="J228" s="8" t="s">
        <v>23</v>
      </c>
      <c r="K228" s="17">
        <v>0</v>
      </c>
      <c r="L228" s="17">
        <v>1</v>
      </c>
      <c r="M228" s="17">
        <v>4</v>
      </c>
    </row>
    <row r="229" spans="1:13" ht="16.4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7">
        <v>15</v>
      </c>
      <c r="G229" s="8" t="s">
        <v>24</v>
      </c>
      <c r="H229" s="8" t="s">
        <v>19</v>
      </c>
      <c r="I229" s="17">
        <v>30</v>
      </c>
      <c r="J229" s="8" t="s">
        <v>19</v>
      </c>
      <c r="K229" s="17">
        <v>20</v>
      </c>
      <c r="L229" s="17">
        <v>3</v>
      </c>
      <c r="M229" s="17">
        <v>62</v>
      </c>
    </row>
    <row r="230" spans="1:13" ht="16.4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7">
        <v>10</v>
      </c>
      <c r="G230" s="8" t="s">
        <v>20</v>
      </c>
      <c r="H230" s="8" t="s">
        <v>23</v>
      </c>
      <c r="I230" s="17"/>
      <c r="J230" s="8" t="s">
        <v>19</v>
      </c>
      <c r="K230" s="17">
        <v>20</v>
      </c>
      <c r="L230" s="17">
        <v>10</v>
      </c>
      <c r="M230" s="17">
        <v>20</v>
      </c>
    </row>
    <row r="231" spans="1:13" ht="16.4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7">
        <v>5</v>
      </c>
      <c r="G231" s="8" t="s">
        <v>27</v>
      </c>
      <c r="H231" s="8" t="s">
        <v>23</v>
      </c>
      <c r="I231" s="17"/>
      <c r="J231" s="8" t="s">
        <v>23</v>
      </c>
      <c r="K231" s="17">
        <v>0</v>
      </c>
      <c r="L231" s="17">
        <v>0</v>
      </c>
      <c r="M231" s="17">
        <v>5</v>
      </c>
    </row>
    <row r="232" spans="1:13" ht="16.4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7">
        <v>15</v>
      </c>
      <c r="G232" s="8" t="s">
        <v>20</v>
      </c>
      <c r="H232" s="8" t="s">
        <v>19</v>
      </c>
      <c r="I232" s="17">
        <v>30</v>
      </c>
      <c r="J232" s="8" t="s">
        <v>19</v>
      </c>
      <c r="K232" s="17">
        <v>20</v>
      </c>
      <c r="L232" s="17">
        <v>15</v>
      </c>
      <c r="M232" s="17">
        <v>50</v>
      </c>
    </row>
    <row r="233" spans="1:13" ht="16.4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7">
        <v>10</v>
      </c>
      <c r="G233" s="8" t="s">
        <v>24</v>
      </c>
      <c r="H233" s="8" t="s">
        <v>23</v>
      </c>
      <c r="I233" s="17"/>
      <c r="J233" s="8" t="s">
        <v>19</v>
      </c>
      <c r="K233" s="17">
        <v>20</v>
      </c>
      <c r="L233" s="17">
        <v>15</v>
      </c>
      <c r="M233" s="17">
        <v>15</v>
      </c>
    </row>
    <row r="234" spans="1:13" ht="16.4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7">
        <v>5</v>
      </c>
      <c r="G234" s="8" t="s">
        <v>20</v>
      </c>
      <c r="H234" s="8" t="s">
        <v>23</v>
      </c>
      <c r="I234" s="17"/>
      <c r="J234" s="8" t="s">
        <v>23</v>
      </c>
      <c r="K234" s="17">
        <v>0</v>
      </c>
      <c r="L234" s="17">
        <v>1</v>
      </c>
      <c r="M234" s="17">
        <v>4</v>
      </c>
    </row>
    <row r="235" spans="1:13" ht="16.4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7">
        <v>15</v>
      </c>
      <c r="G235" s="8" t="s">
        <v>27</v>
      </c>
      <c r="H235" s="8" t="s">
        <v>19</v>
      </c>
      <c r="I235" s="17">
        <v>30</v>
      </c>
      <c r="J235" s="8" t="s">
        <v>19</v>
      </c>
      <c r="K235" s="17">
        <v>20</v>
      </c>
      <c r="L235" s="17">
        <v>7</v>
      </c>
      <c r="M235" s="17">
        <v>58</v>
      </c>
    </row>
    <row r="236" spans="1:13" ht="16.4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7">
        <v>10</v>
      </c>
      <c r="G236" s="8" t="s">
        <v>20</v>
      </c>
      <c r="H236" s="8" t="s">
        <v>23</v>
      </c>
      <c r="I236" s="17"/>
      <c r="J236" s="8" t="s">
        <v>19</v>
      </c>
      <c r="K236" s="17">
        <v>20</v>
      </c>
      <c r="L236" s="17">
        <v>10</v>
      </c>
      <c r="M236" s="17">
        <v>20</v>
      </c>
    </row>
    <row r="237" spans="1:13" ht="16.4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7">
        <v>5</v>
      </c>
      <c r="G237" s="8" t="s">
        <v>24</v>
      </c>
      <c r="H237" s="8" t="s">
        <v>23</v>
      </c>
      <c r="I237" s="17"/>
      <c r="J237" s="8" t="s">
        <v>23</v>
      </c>
      <c r="K237" s="17">
        <v>0</v>
      </c>
      <c r="L237" s="17">
        <v>0</v>
      </c>
      <c r="M237" s="17">
        <v>5</v>
      </c>
    </row>
    <row r="238" spans="1:13" ht="16.4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7">
        <v>15</v>
      </c>
      <c r="G238" s="8" t="s">
        <v>20</v>
      </c>
      <c r="H238" s="8" t="s">
        <v>19</v>
      </c>
      <c r="I238" s="17">
        <v>30</v>
      </c>
      <c r="J238" s="8" t="s">
        <v>19</v>
      </c>
      <c r="K238" s="17">
        <v>20</v>
      </c>
      <c r="L238" s="17">
        <v>15</v>
      </c>
      <c r="M238" s="17">
        <v>50</v>
      </c>
    </row>
    <row r="239" spans="1:13" ht="16.4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7">
        <v>10</v>
      </c>
      <c r="G239" s="8" t="s">
        <v>27</v>
      </c>
      <c r="H239" s="8" t="s">
        <v>23</v>
      </c>
      <c r="I239" s="17"/>
      <c r="J239" s="8" t="s">
        <v>19</v>
      </c>
      <c r="K239" s="17">
        <v>20</v>
      </c>
      <c r="L239" s="17">
        <v>12</v>
      </c>
      <c r="M239" s="17">
        <v>18</v>
      </c>
    </row>
    <row r="240" spans="1:13" ht="16.4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7">
        <v>5</v>
      </c>
      <c r="G240" s="8" t="s">
        <v>20</v>
      </c>
      <c r="H240" s="8" t="s">
        <v>23</v>
      </c>
      <c r="I240" s="17"/>
      <c r="J240" s="8" t="s">
        <v>23</v>
      </c>
      <c r="K240" s="17">
        <v>0</v>
      </c>
      <c r="L240" s="17">
        <v>2</v>
      </c>
      <c r="M240" s="17">
        <v>3</v>
      </c>
    </row>
    <row r="241" spans="1:13" ht="16.4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7">
        <v>15</v>
      </c>
      <c r="G241" s="8" t="s">
        <v>24</v>
      </c>
      <c r="H241" s="8" t="s">
        <v>19</v>
      </c>
      <c r="I241" s="17">
        <v>30</v>
      </c>
      <c r="J241" s="8" t="s">
        <v>19</v>
      </c>
      <c r="K241" s="17">
        <v>20</v>
      </c>
      <c r="L241" s="17">
        <v>5</v>
      </c>
      <c r="M241" s="17">
        <v>60</v>
      </c>
    </row>
    <row r="242" spans="1:13" ht="16.4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7">
        <v>10</v>
      </c>
      <c r="G242" s="8" t="s">
        <v>20</v>
      </c>
      <c r="H242" s="8" t="s">
        <v>23</v>
      </c>
      <c r="I242" s="17"/>
      <c r="J242" s="8" t="s">
        <v>19</v>
      </c>
      <c r="K242" s="17">
        <v>20</v>
      </c>
      <c r="L242" s="17">
        <v>10</v>
      </c>
      <c r="M242" s="17">
        <v>20</v>
      </c>
    </row>
    <row r="243" spans="1:13" ht="16.4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7">
        <v>5</v>
      </c>
      <c r="G243" s="8" t="s">
        <v>27</v>
      </c>
      <c r="H243" s="8" t="s">
        <v>23</v>
      </c>
      <c r="I243" s="17"/>
      <c r="J243" s="8" t="s">
        <v>23</v>
      </c>
      <c r="K243" s="17">
        <v>0</v>
      </c>
      <c r="L243" s="17">
        <v>0</v>
      </c>
      <c r="M243" s="17">
        <v>5</v>
      </c>
    </row>
    <row r="244" spans="1:13" ht="16.4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7">
        <v>15</v>
      </c>
      <c r="G244" s="8" t="s">
        <v>20</v>
      </c>
      <c r="H244" s="8" t="s">
        <v>19</v>
      </c>
      <c r="I244" s="17">
        <v>30</v>
      </c>
      <c r="J244" s="8" t="s">
        <v>19</v>
      </c>
      <c r="K244" s="17">
        <v>20</v>
      </c>
      <c r="L244" s="17">
        <v>3</v>
      </c>
      <c r="M244" s="17">
        <v>62</v>
      </c>
    </row>
    <row r="245" spans="1:13" ht="16.4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7">
        <v>10</v>
      </c>
      <c r="G245" s="8" t="s">
        <v>24</v>
      </c>
      <c r="H245" s="8" t="s">
        <v>23</v>
      </c>
      <c r="I245" s="17"/>
      <c r="J245" s="8" t="s">
        <v>19</v>
      </c>
      <c r="K245" s="17">
        <v>20</v>
      </c>
      <c r="L245" s="17">
        <v>15</v>
      </c>
      <c r="M245" s="17">
        <v>15</v>
      </c>
    </row>
    <row r="246" spans="1:13" ht="16.4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7">
        <v>5</v>
      </c>
      <c r="G246" s="8" t="s">
        <v>20</v>
      </c>
      <c r="H246" s="8" t="s">
        <v>23</v>
      </c>
      <c r="I246" s="17"/>
      <c r="J246" s="8" t="s">
        <v>23</v>
      </c>
      <c r="K246" s="17">
        <v>0</v>
      </c>
      <c r="L246" s="17">
        <v>1</v>
      </c>
      <c r="M246" s="17">
        <v>4</v>
      </c>
    </row>
    <row r="247" spans="1:13" ht="16.4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7">
        <v>15</v>
      </c>
      <c r="G247" s="8" t="s">
        <v>27</v>
      </c>
      <c r="H247" s="8" t="s">
        <v>19</v>
      </c>
      <c r="I247" s="17">
        <v>30</v>
      </c>
      <c r="J247" s="8" t="s">
        <v>19</v>
      </c>
      <c r="K247" s="17">
        <v>20</v>
      </c>
      <c r="L247" s="17">
        <v>7</v>
      </c>
      <c r="M247" s="17">
        <v>58</v>
      </c>
    </row>
    <row r="248" spans="1:13" ht="16.4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7">
        <v>10</v>
      </c>
      <c r="G248" s="8" t="s">
        <v>20</v>
      </c>
      <c r="H248" s="8" t="s">
        <v>23</v>
      </c>
      <c r="I248" s="17"/>
      <c r="J248" s="8" t="s">
        <v>19</v>
      </c>
      <c r="K248" s="17">
        <v>20</v>
      </c>
      <c r="L248" s="17">
        <v>10</v>
      </c>
      <c r="M248" s="17">
        <v>20</v>
      </c>
    </row>
    <row r="249" spans="1:13" ht="16.4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7">
        <v>5</v>
      </c>
      <c r="G249" s="8" t="s">
        <v>24</v>
      </c>
      <c r="H249" s="8" t="s">
        <v>23</v>
      </c>
      <c r="I249" s="17"/>
      <c r="J249" s="8" t="s">
        <v>23</v>
      </c>
      <c r="K249" s="17">
        <v>0</v>
      </c>
      <c r="L249" s="17">
        <v>0</v>
      </c>
      <c r="M249" s="17">
        <v>5</v>
      </c>
    </row>
    <row r="250" spans="1:13" ht="16.4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7">
        <v>15</v>
      </c>
      <c r="G250" s="8" t="s">
        <v>20</v>
      </c>
      <c r="H250" s="8" t="s">
        <v>19</v>
      </c>
      <c r="I250" s="17">
        <v>30</v>
      </c>
      <c r="J250" s="8" t="s">
        <v>19</v>
      </c>
      <c r="K250" s="17">
        <v>20</v>
      </c>
      <c r="L250" s="17">
        <v>20</v>
      </c>
      <c r="M250" s="17">
        <v>45</v>
      </c>
    </row>
    <row r="251" spans="1:13" ht="16.4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7">
        <v>10</v>
      </c>
      <c r="G251" s="8" t="s">
        <v>27</v>
      </c>
      <c r="H251" s="8" t="s">
        <v>23</v>
      </c>
      <c r="I251" s="17"/>
      <c r="J251" s="8" t="s">
        <v>19</v>
      </c>
      <c r="K251" s="17">
        <v>20</v>
      </c>
      <c r="L251" s="17">
        <v>15</v>
      </c>
      <c r="M251" s="17">
        <v>15</v>
      </c>
    </row>
    <row r="252" spans="1:13" ht="16.4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7">
        <v>5</v>
      </c>
      <c r="G252" s="8" t="s">
        <v>20</v>
      </c>
      <c r="H252" s="8" t="s">
        <v>23</v>
      </c>
      <c r="I252" s="17"/>
      <c r="J252" s="8" t="s">
        <v>23</v>
      </c>
      <c r="K252" s="17">
        <v>0</v>
      </c>
      <c r="L252" s="17">
        <v>1</v>
      </c>
      <c r="M252" s="17">
        <v>4</v>
      </c>
    </row>
    <row r="253" spans="1:13" ht="16.4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7">
        <v>15</v>
      </c>
      <c r="G253" s="8" t="s">
        <v>24</v>
      </c>
      <c r="H253" s="8" t="s">
        <v>19</v>
      </c>
      <c r="I253" s="17">
        <v>30</v>
      </c>
      <c r="J253" s="8" t="s">
        <v>19</v>
      </c>
      <c r="K253" s="17">
        <v>20</v>
      </c>
      <c r="L253" s="17">
        <v>3</v>
      </c>
      <c r="M253" s="17">
        <v>62</v>
      </c>
    </row>
    <row r="254" spans="1:13" ht="16.4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7">
        <v>10</v>
      </c>
      <c r="G254" s="8" t="s">
        <v>20</v>
      </c>
      <c r="H254" s="8" t="s">
        <v>23</v>
      </c>
      <c r="I254" s="17"/>
      <c r="J254" s="8" t="s">
        <v>19</v>
      </c>
      <c r="K254" s="17">
        <v>20</v>
      </c>
      <c r="L254" s="17">
        <v>10</v>
      </c>
      <c r="M254" s="17">
        <v>20</v>
      </c>
    </row>
    <row r="255" spans="1:13" ht="16.4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7">
        <v>5</v>
      </c>
      <c r="G255" s="8" t="s">
        <v>27</v>
      </c>
      <c r="H255" s="8" t="s">
        <v>23</v>
      </c>
      <c r="I255" s="17"/>
      <c r="J255" s="8" t="s">
        <v>23</v>
      </c>
      <c r="K255" s="17">
        <v>0</v>
      </c>
      <c r="L255" s="17">
        <v>0</v>
      </c>
      <c r="M255" s="17">
        <v>5</v>
      </c>
    </row>
    <row r="256" spans="1:13" ht="16.4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7">
        <v>15</v>
      </c>
      <c r="G256" s="8" t="s">
        <v>20</v>
      </c>
      <c r="H256" s="8" t="s">
        <v>19</v>
      </c>
      <c r="I256" s="17">
        <v>30</v>
      </c>
      <c r="J256" s="8" t="s">
        <v>19</v>
      </c>
      <c r="K256" s="17">
        <v>20</v>
      </c>
      <c r="L256" s="17">
        <v>15</v>
      </c>
      <c r="M256" s="17">
        <v>50</v>
      </c>
    </row>
    <row r="257" spans="1:13" ht="16.4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7">
        <v>5</v>
      </c>
      <c r="G257" s="8" t="s">
        <v>20</v>
      </c>
      <c r="H257" s="8" t="s">
        <v>23</v>
      </c>
      <c r="I257" s="17"/>
      <c r="J257" s="8" t="s">
        <v>23</v>
      </c>
      <c r="K257" s="17">
        <v>0</v>
      </c>
      <c r="L257" s="17">
        <v>0</v>
      </c>
      <c r="M257" s="17">
        <v>5</v>
      </c>
    </row>
    <row r="258" spans="1:13" ht="16.4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7">
        <v>15</v>
      </c>
      <c r="G258" s="8" t="s">
        <v>27</v>
      </c>
      <c r="H258" s="8" t="s">
        <v>19</v>
      </c>
      <c r="I258" s="17">
        <v>30</v>
      </c>
      <c r="J258" s="8" t="s">
        <v>19</v>
      </c>
      <c r="K258" s="17">
        <v>20</v>
      </c>
      <c r="L258" s="17">
        <v>7</v>
      </c>
      <c r="M258" s="17">
        <v>58</v>
      </c>
    </row>
    <row r="259" spans="1:13" ht="16.4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7">
        <v>10</v>
      </c>
      <c r="G259" s="8" t="s">
        <v>24</v>
      </c>
      <c r="H259" s="8" t="s">
        <v>23</v>
      </c>
      <c r="I259" s="17"/>
      <c r="J259" s="8" t="s">
        <v>19</v>
      </c>
      <c r="K259" s="17">
        <v>20</v>
      </c>
      <c r="L259" s="17">
        <v>10</v>
      </c>
      <c r="M259" s="17">
        <v>20</v>
      </c>
    </row>
    <row r="260" spans="1:13" ht="16.4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7">
        <v>5</v>
      </c>
      <c r="G260" s="8" t="s">
        <v>27</v>
      </c>
      <c r="H260" s="8" t="s">
        <v>23</v>
      </c>
      <c r="I260" s="17"/>
      <c r="J260" s="8" t="s">
        <v>23</v>
      </c>
      <c r="K260" s="17">
        <v>0</v>
      </c>
      <c r="L260" s="17">
        <v>1</v>
      </c>
      <c r="M260" s="17">
        <v>4</v>
      </c>
    </row>
    <row r="261" spans="1:13" ht="16.4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7">
        <v>15</v>
      </c>
      <c r="G261" s="8" t="s">
        <v>20</v>
      </c>
      <c r="H261" s="8" t="s">
        <v>19</v>
      </c>
      <c r="I261" s="17">
        <v>30</v>
      </c>
      <c r="J261" s="8" t="s">
        <v>19</v>
      </c>
      <c r="K261" s="17">
        <v>20</v>
      </c>
      <c r="L261" s="17">
        <v>15</v>
      </c>
      <c r="M261" s="17">
        <v>50</v>
      </c>
    </row>
    <row r="262" spans="1:13" ht="16.4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7">
        <v>10</v>
      </c>
      <c r="G262" s="8" t="s">
        <v>20</v>
      </c>
      <c r="H262" s="8" t="s">
        <v>23</v>
      </c>
      <c r="I262" s="17"/>
      <c r="J262" s="8" t="s">
        <v>19</v>
      </c>
      <c r="K262" s="17">
        <v>20</v>
      </c>
      <c r="L262" s="17">
        <v>5</v>
      </c>
      <c r="M262" s="17">
        <v>25</v>
      </c>
    </row>
    <row r="263" spans="1:13" ht="16.4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7">
        <v>5</v>
      </c>
      <c r="G263" s="8" t="s">
        <v>24</v>
      </c>
      <c r="H263" s="8" t="s">
        <v>23</v>
      </c>
      <c r="I263" s="17"/>
      <c r="J263" s="8" t="s">
        <v>23</v>
      </c>
      <c r="K263" s="17">
        <v>0</v>
      </c>
      <c r="L263" s="17">
        <v>0</v>
      </c>
      <c r="M263" s="17">
        <v>5</v>
      </c>
    </row>
    <row r="264" spans="1:13" ht="16.4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7">
        <v>15</v>
      </c>
      <c r="G264" s="8" t="s">
        <v>27</v>
      </c>
      <c r="H264" s="8" t="s">
        <v>19</v>
      </c>
      <c r="I264" s="17">
        <v>30</v>
      </c>
      <c r="J264" s="8" t="s">
        <v>19</v>
      </c>
      <c r="K264" s="17">
        <v>20</v>
      </c>
      <c r="L264" s="17">
        <v>20</v>
      </c>
      <c r="M264" s="17">
        <v>45</v>
      </c>
    </row>
    <row r="265" spans="1:13" ht="16.4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7">
        <v>10</v>
      </c>
      <c r="G265" s="8" t="s">
        <v>27</v>
      </c>
      <c r="H265" s="8" t="s">
        <v>23</v>
      </c>
      <c r="I265" s="17"/>
      <c r="J265" s="8" t="s">
        <v>19</v>
      </c>
      <c r="K265" s="17">
        <v>20</v>
      </c>
      <c r="L265" s="17">
        <v>12</v>
      </c>
      <c r="M265" s="17">
        <v>18</v>
      </c>
    </row>
    <row r="266" spans="1:13" ht="16.4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7">
        <v>5</v>
      </c>
      <c r="G266" s="8" t="s">
        <v>20</v>
      </c>
      <c r="H266" s="8" t="s">
        <v>23</v>
      </c>
      <c r="I266" s="17"/>
      <c r="J266" s="8" t="s">
        <v>23</v>
      </c>
      <c r="K266" s="17">
        <v>0</v>
      </c>
      <c r="L266" s="17">
        <v>2</v>
      </c>
      <c r="M266" s="17">
        <v>3</v>
      </c>
    </row>
    <row r="267" spans="1:13" ht="16.4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7">
        <v>15</v>
      </c>
      <c r="G267" s="8" t="s">
        <v>24</v>
      </c>
      <c r="H267" s="8" t="s">
        <v>19</v>
      </c>
      <c r="I267" s="17">
        <v>30</v>
      </c>
      <c r="J267" s="8" t="s">
        <v>19</v>
      </c>
      <c r="K267" s="17">
        <v>20</v>
      </c>
      <c r="L267" s="17">
        <v>5</v>
      </c>
      <c r="M267" s="17">
        <v>60</v>
      </c>
    </row>
    <row r="268" spans="1:13" ht="16.4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7">
        <v>10</v>
      </c>
      <c r="G268" s="8" t="s">
        <v>20</v>
      </c>
      <c r="H268" s="8" t="s">
        <v>23</v>
      </c>
      <c r="I268" s="17"/>
      <c r="J268" s="8" t="s">
        <v>19</v>
      </c>
      <c r="K268" s="17">
        <v>20</v>
      </c>
      <c r="L268" s="17">
        <v>10</v>
      </c>
      <c r="M268" s="17">
        <v>20</v>
      </c>
    </row>
    <row r="269" spans="1:13" ht="16.4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7">
        <v>5</v>
      </c>
      <c r="G269" s="8" t="s">
        <v>27</v>
      </c>
      <c r="H269" s="8" t="s">
        <v>23</v>
      </c>
      <c r="I269" s="17"/>
      <c r="J269" s="8" t="s">
        <v>23</v>
      </c>
      <c r="K269" s="17">
        <v>0</v>
      </c>
      <c r="L269" s="17">
        <v>0</v>
      </c>
      <c r="M269" s="17">
        <v>5</v>
      </c>
    </row>
    <row r="270" spans="1:13" ht="16.4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7">
        <v>15</v>
      </c>
      <c r="G270" s="8" t="s">
        <v>20</v>
      </c>
      <c r="H270" s="8" t="s">
        <v>19</v>
      </c>
      <c r="I270" s="17">
        <v>30</v>
      </c>
      <c r="J270" s="8" t="s">
        <v>19</v>
      </c>
      <c r="K270" s="17">
        <v>20</v>
      </c>
      <c r="L270" s="17">
        <v>3</v>
      </c>
      <c r="M270" s="17">
        <v>62</v>
      </c>
    </row>
    <row r="271" spans="1:13" ht="16.4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7">
        <v>10</v>
      </c>
      <c r="G271" s="8" t="s">
        <v>24</v>
      </c>
      <c r="H271" s="8" t="s">
        <v>23</v>
      </c>
      <c r="I271" s="17"/>
      <c r="J271" s="8" t="s">
        <v>19</v>
      </c>
      <c r="K271" s="17">
        <v>20</v>
      </c>
      <c r="L271" s="17">
        <v>15</v>
      </c>
      <c r="M271" s="17">
        <v>15</v>
      </c>
    </row>
    <row r="272" spans="1:13" ht="16.4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7">
        <v>5</v>
      </c>
      <c r="G272" s="8" t="s">
        <v>20</v>
      </c>
      <c r="H272" s="8" t="s">
        <v>23</v>
      </c>
      <c r="I272" s="17"/>
      <c r="J272" s="8" t="s">
        <v>23</v>
      </c>
      <c r="K272" s="17">
        <v>0</v>
      </c>
      <c r="L272" s="17">
        <v>1</v>
      </c>
      <c r="M272" s="17">
        <v>4</v>
      </c>
    </row>
    <row r="273" spans="1:13" ht="16.4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7">
        <v>15</v>
      </c>
      <c r="G273" s="8" t="s">
        <v>27</v>
      </c>
      <c r="H273" s="8" t="s">
        <v>19</v>
      </c>
      <c r="I273" s="17">
        <v>30</v>
      </c>
      <c r="J273" s="8" t="s">
        <v>19</v>
      </c>
      <c r="K273" s="17">
        <v>20</v>
      </c>
      <c r="L273" s="17">
        <v>7</v>
      </c>
      <c r="M273" s="17">
        <v>58</v>
      </c>
    </row>
    <row r="274" spans="1:13" ht="16.4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7">
        <v>10</v>
      </c>
      <c r="G274" s="8" t="s">
        <v>20</v>
      </c>
      <c r="H274" s="8" t="s">
        <v>23</v>
      </c>
      <c r="I274" s="17"/>
      <c r="J274" s="8" t="s">
        <v>19</v>
      </c>
      <c r="K274" s="17">
        <v>20</v>
      </c>
      <c r="L274" s="17">
        <v>10</v>
      </c>
      <c r="M274" s="17">
        <v>20</v>
      </c>
    </row>
    <row r="275" spans="1:13" ht="16.4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7">
        <v>5</v>
      </c>
      <c r="G275" s="8" t="s">
        <v>24</v>
      </c>
      <c r="H275" s="8" t="s">
        <v>23</v>
      </c>
      <c r="I275" s="17"/>
      <c r="J275" s="8" t="s">
        <v>23</v>
      </c>
      <c r="K275" s="17">
        <v>0</v>
      </c>
      <c r="L275" s="17">
        <v>0</v>
      </c>
      <c r="M275" s="17">
        <v>5</v>
      </c>
    </row>
    <row r="276" spans="1:13" ht="16.4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7">
        <v>15</v>
      </c>
      <c r="G276" s="8" t="s">
        <v>20</v>
      </c>
      <c r="H276" s="8" t="s">
        <v>19</v>
      </c>
      <c r="I276" s="17">
        <v>30</v>
      </c>
      <c r="J276" s="8" t="s">
        <v>19</v>
      </c>
      <c r="K276" s="17">
        <v>20</v>
      </c>
      <c r="L276" s="17">
        <v>20</v>
      </c>
      <c r="M276" s="17">
        <v>45</v>
      </c>
    </row>
    <row r="277" spans="1:13" ht="16.4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7">
        <v>10</v>
      </c>
      <c r="G277" s="8" t="s">
        <v>27</v>
      </c>
      <c r="H277" s="8" t="s">
        <v>23</v>
      </c>
      <c r="I277" s="17"/>
      <c r="J277" s="8" t="s">
        <v>19</v>
      </c>
      <c r="K277" s="17">
        <v>20</v>
      </c>
      <c r="L277" s="17">
        <v>15</v>
      </c>
      <c r="M277" s="17">
        <v>15</v>
      </c>
    </row>
    <row r="278" spans="1:13" ht="16.4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7">
        <v>5</v>
      </c>
      <c r="G278" s="8" t="s">
        <v>20</v>
      </c>
      <c r="H278" s="8" t="s">
        <v>23</v>
      </c>
      <c r="I278" s="17"/>
      <c r="J278" s="8" t="s">
        <v>23</v>
      </c>
      <c r="K278" s="17">
        <v>0</v>
      </c>
      <c r="L278" s="17">
        <v>1</v>
      </c>
      <c r="M278" s="17">
        <v>4</v>
      </c>
    </row>
    <row r="279" spans="1:13" ht="16.4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7">
        <v>15</v>
      </c>
      <c r="G279" s="8" t="s">
        <v>24</v>
      </c>
      <c r="H279" s="8" t="s">
        <v>19</v>
      </c>
      <c r="I279" s="17">
        <v>30</v>
      </c>
      <c r="J279" s="8" t="s">
        <v>19</v>
      </c>
      <c r="K279" s="17">
        <v>20</v>
      </c>
      <c r="L279" s="17">
        <v>3</v>
      </c>
      <c r="M279" s="17">
        <v>62</v>
      </c>
    </row>
    <row r="280" spans="1:13" ht="16.4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7">
        <v>10</v>
      </c>
      <c r="G280" s="8" t="s">
        <v>20</v>
      </c>
      <c r="H280" s="8" t="s">
        <v>23</v>
      </c>
      <c r="I280" s="17"/>
      <c r="J280" s="8" t="s">
        <v>19</v>
      </c>
      <c r="K280" s="17">
        <v>20</v>
      </c>
      <c r="L280" s="17">
        <v>10</v>
      </c>
      <c r="M280" s="17">
        <v>20</v>
      </c>
    </row>
    <row r="281" spans="1:13" ht="16.4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7">
        <v>5</v>
      </c>
      <c r="G281" s="8" t="s">
        <v>27</v>
      </c>
      <c r="H281" s="8" t="s">
        <v>23</v>
      </c>
      <c r="I281" s="17"/>
      <c r="J281" s="8" t="s">
        <v>23</v>
      </c>
      <c r="K281" s="17">
        <v>0</v>
      </c>
      <c r="L281" s="17">
        <v>0</v>
      </c>
      <c r="M281" s="17">
        <v>5</v>
      </c>
    </row>
    <row r="282" spans="1:13" ht="16.4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7">
        <v>15</v>
      </c>
      <c r="G282" s="8" t="s">
        <v>20</v>
      </c>
      <c r="H282" s="8" t="s">
        <v>19</v>
      </c>
      <c r="I282" s="17">
        <v>30</v>
      </c>
      <c r="J282" s="8" t="s">
        <v>19</v>
      </c>
      <c r="K282" s="17">
        <v>20</v>
      </c>
      <c r="L282" s="17">
        <v>15</v>
      </c>
      <c r="M282" s="17">
        <v>50</v>
      </c>
    </row>
    <row r="283" spans="1:13" ht="16.4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7">
        <v>10</v>
      </c>
      <c r="G283" s="8" t="s">
        <v>24</v>
      </c>
      <c r="H283" s="8" t="s">
        <v>23</v>
      </c>
      <c r="I283" s="17"/>
      <c r="J283" s="8" t="s">
        <v>19</v>
      </c>
      <c r="K283" s="17">
        <v>20</v>
      </c>
      <c r="L283" s="17">
        <v>15</v>
      </c>
      <c r="M283" s="17">
        <v>15</v>
      </c>
    </row>
    <row r="284" spans="1:13" ht="16.4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7">
        <v>5</v>
      </c>
      <c r="G284" s="8" t="s">
        <v>20</v>
      </c>
      <c r="H284" s="8" t="s">
        <v>23</v>
      </c>
      <c r="I284" s="17"/>
      <c r="J284" s="8" t="s">
        <v>23</v>
      </c>
      <c r="K284" s="17">
        <v>0</v>
      </c>
      <c r="L284" s="17">
        <v>1</v>
      </c>
      <c r="M284" s="17">
        <v>4</v>
      </c>
    </row>
    <row r="285" spans="1:13" ht="16.4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7">
        <v>15</v>
      </c>
      <c r="G285" s="8" t="s">
        <v>27</v>
      </c>
      <c r="H285" s="8" t="s">
        <v>19</v>
      </c>
      <c r="I285" s="17">
        <v>30</v>
      </c>
      <c r="J285" s="8" t="s">
        <v>19</v>
      </c>
      <c r="K285" s="17">
        <v>20</v>
      </c>
      <c r="L285" s="17">
        <v>7</v>
      </c>
      <c r="M285" s="17">
        <v>58</v>
      </c>
    </row>
    <row r="286" spans="1:13" ht="16.4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7">
        <v>10</v>
      </c>
      <c r="G286" s="8" t="s">
        <v>20</v>
      </c>
      <c r="H286" s="8" t="s">
        <v>23</v>
      </c>
      <c r="I286" s="17"/>
      <c r="J286" s="8" t="s">
        <v>19</v>
      </c>
      <c r="K286" s="17">
        <v>20</v>
      </c>
      <c r="L286" s="17">
        <v>10</v>
      </c>
      <c r="M286" s="17">
        <v>20</v>
      </c>
    </row>
    <row r="287" spans="1:13" ht="16.4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7">
        <v>5</v>
      </c>
      <c r="G287" s="8" t="s">
        <v>24</v>
      </c>
      <c r="H287" s="8" t="s">
        <v>23</v>
      </c>
      <c r="I287" s="17"/>
      <c r="J287" s="8" t="s">
        <v>23</v>
      </c>
      <c r="K287" s="17">
        <v>0</v>
      </c>
      <c r="L287" s="17">
        <v>0</v>
      </c>
      <c r="M287" s="17">
        <v>5</v>
      </c>
    </row>
    <row r="288" spans="1:13" ht="16.4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7">
        <v>15</v>
      </c>
      <c r="G288" s="8" t="s">
        <v>20</v>
      </c>
      <c r="H288" s="8" t="s">
        <v>19</v>
      </c>
      <c r="I288" s="17">
        <v>30</v>
      </c>
      <c r="J288" s="8" t="s">
        <v>19</v>
      </c>
      <c r="K288" s="17">
        <v>20</v>
      </c>
      <c r="L288" s="17">
        <v>20</v>
      </c>
      <c r="M288" s="17">
        <v>45</v>
      </c>
    </row>
    <row r="289" spans="1:13" ht="16.4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7">
        <v>10</v>
      </c>
      <c r="G289" s="8" t="s">
        <v>27</v>
      </c>
      <c r="H289" s="8" t="s">
        <v>23</v>
      </c>
      <c r="I289" s="17"/>
      <c r="J289" s="8" t="s">
        <v>19</v>
      </c>
      <c r="K289" s="17">
        <v>20</v>
      </c>
      <c r="L289" s="17">
        <v>12</v>
      </c>
      <c r="M289" s="17">
        <v>18</v>
      </c>
    </row>
    <row r="290" spans="1:13" ht="16.4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7">
        <v>5</v>
      </c>
      <c r="G290" s="8" t="s">
        <v>20</v>
      </c>
      <c r="H290" s="8" t="s">
        <v>23</v>
      </c>
      <c r="I290" s="17"/>
      <c r="J290" s="8" t="s">
        <v>23</v>
      </c>
      <c r="K290" s="17">
        <v>0</v>
      </c>
      <c r="L290" s="17">
        <v>2</v>
      </c>
      <c r="M290" s="17">
        <v>3</v>
      </c>
    </row>
    <row r="291" spans="1:13" ht="16.4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7">
        <v>15</v>
      </c>
      <c r="G291" s="8" t="s">
        <v>24</v>
      </c>
      <c r="H291" s="8" t="s">
        <v>19</v>
      </c>
      <c r="I291" s="17">
        <v>30</v>
      </c>
      <c r="J291" s="8" t="s">
        <v>19</v>
      </c>
      <c r="K291" s="17">
        <v>20</v>
      </c>
      <c r="L291" s="17">
        <v>5</v>
      </c>
      <c r="M291" s="17">
        <v>60</v>
      </c>
    </row>
    <row r="292" spans="1:13" ht="16.4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7">
        <v>10</v>
      </c>
      <c r="G292" s="8" t="s">
        <v>20</v>
      </c>
      <c r="H292" s="8" t="s">
        <v>23</v>
      </c>
      <c r="I292" s="17"/>
      <c r="J292" s="8" t="s">
        <v>19</v>
      </c>
      <c r="K292" s="17">
        <v>20</v>
      </c>
      <c r="L292" s="17">
        <v>10</v>
      </c>
      <c r="M292" s="17">
        <v>20</v>
      </c>
    </row>
    <row r="293" spans="1:13" ht="16.4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7">
        <v>5</v>
      </c>
      <c r="G293" s="8" t="s">
        <v>27</v>
      </c>
      <c r="H293" s="8" t="s">
        <v>23</v>
      </c>
      <c r="I293" s="17"/>
      <c r="J293" s="8" t="s">
        <v>23</v>
      </c>
      <c r="K293" s="17">
        <v>0</v>
      </c>
      <c r="L293" s="17">
        <v>0</v>
      </c>
      <c r="M293" s="17">
        <v>5</v>
      </c>
    </row>
    <row r="294" spans="1:13" ht="16.4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7">
        <v>15</v>
      </c>
      <c r="G294" s="8" t="s">
        <v>20</v>
      </c>
      <c r="H294" s="8" t="s">
        <v>19</v>
      </c>
      <c r="I294" s="17">
        <v>30</v>
      </c>
      <c r="J294" s="8" t="s">
        <v>19</v>
      </c>
      <c r="K294" s="17">
        <v>20</v>
      </c>
      <c r="L294" s="17">
        <v>3</v>
      </c>
      <c r="M294" s="17">
        <v>62</v>
      </c>
    </row>
    <row r="295" spans="1:13" ht="16.4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7">
        <v>10</v>
      </c>
      <c r="G295" s="8" t="s">
        <v>24</v>
      </c>
      <c r="H295" s="8" t="s">
        <v>23</v>
      </c>
      <c r="I295" s="17"/>
      <c r="J295" s="8" t="s">
        <v>19</v>
      </c>
      <c r="K295" s="17">
        <v>20</v>
      </c>
      <c r="L295" s="17">
        <v>15</v>
      </c>
      <c r="M295" s="17">
        <v>15</v>
      </c>
    </row>
    <row r="296" spans="1:13" ht="16.4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7">
        <v>5</v>
      </c>
      <c r="G296" s="8" t="s">
        <v>20</v>
      </c>
      <c r="H296" s="8" t="s">
        <v>23</v>
      </c>
      <c r="I296" s="17"/>
      <c r="J296" s="8" t="s">
        <v>23</v>
      </c>
      <c r="K296" s="17">
        <v>0</v>
      </c>
      <c r="L296" s="17">
        <v>1</v>
      </c>
      <c r="M296" s="17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7:K28"/>
  <sheetViews>
    <sheetView showGridLines="0" topLeftCell="D2" workbookViewId="0">
      <selection activeCell="D17" sqref="D17"/>
    </sheetView>
  </sheetViews>
  <sheetFormatPr defaultRowHeight="15.05" x14ac:dyDescent="0.3"/>
  <cols>
    <col min="2" max="2" width="16.6640625" bestFit="1" customWidth="1"/>
    <col min="3" max="3" width="17.88671875" bestFit="1" customWidth="1"/>
    <col min="4" max="4" width="30.5546875" bestFit="1" customWidth="1"/>
    <col min="5" max="5" width="6.33203125" customWidth="1"/>
    <col min="6" max="6" width="17.88671875" bestFit="1" customWidth="1"/>
    <col min="7" max="7" width="23.77734375" bestFit="1" customWidth="1"/>
    <col min="8" max="8" width="5.44140625" customWidth="1"/>
    <col min="9" max="9" width="21.109375" bestFit="1" customWidth="1"/>
    <col min="10" max="10" width="16.6640625" bestFit="1" customWidth="1"/>
    <col min="11" max="11" width="17.886718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7" spans="2:11" x14ac:dyDescent="0.3">
      <c r="J7" s="13" t="s">
        <v>16</v>
      </c>
      <c r="K7" t="s">
        <v>20</v>
      </c>
    </row>
    <row r="9" spans="2:11" x14ac:dyDescent="0.3">
      <c r="B9" s="13" t="s">
        <v>16</v>
      </c>
      <c r="C9" t="s">
        <v>20</v>
      </c>
      <c r="F9" s="13" t="s">
        <v>16</v>
      </c>
      <c r="G9" t="s">
        <v>20</v>
      </c>
      <c r="J9" s="13" t="s">
        <v>312</v>
      </c>
      <c r="K9" t="s">
        <v>316</v>
      </c>
    </row>
    <row r="10" spans="2:11" x14ac:dyDescent="0.3">
      <c r="J10" s="14" t="s">
        <v>22</v>
      </c>
      <c r="K10" s="16">
        <v>0</v>
      </c>
    </row>
    <row r="11" spans="2:11" x14ac:dyDescent="0.3">
      <c r="B11" s="13" t="s">
        <v>312</v>
      </c>
      <c r="C11" t="s">
        <v>314</v>
      </c>
      <c r="F11" s="13" t="s">
        <v>312</v>
      </c>
      <c r="G11" t="s">
        <v>315</v>
      </c>
      <c r="J11" s="14" t="s">
        <v>26</v>
      </c>
      <c r="K11" s="16">
        <v>900</v>
      </c>
    </row>
    <row r="12" spans="2:11" x14ac:dyDescent="0.3">
      <c r="B12" s="14" t="s">
        <v>23</v>
      </c>
      <c r="C12" s="16">
        <v>2824</v>
      </c>
      <c r="F12" s="14" t="s">
        <v>22</v>
      </c>
      <c r="G12" s="18">
        <v>0</v>
      </c>
      <c r="J12" s="14" t="s">
        <v>18</v>
      </c>
      <c r="K12" s="16">
        <v>900</v>
      </c>
    </row>
    <row r="13" spans="2:11" x14ac:dyDescent="0.3">
      <c r="B13" s="14" t="s">
        <v>19</v>
      </c>
      <c r="C13" s="16">
        <v>747</v>
      </c>
      <c r="F13" s="14" t="s">
        <v>26</v>
      </c>
      <c r="G13" s="18">
        <v>0</v>
      </c>
      <c r="J13" s="14" t="s">
        <v>313</v>
      </c>
      <c r="K13" s="16">
        <v>1800</v>
      </c>
    </row>
    <row r="14" spans="2:11" x14ac:dyDescent="0.3">
      <c r="B14" s="14" t="s">
        <v>313</v>
      </c>
      <c r="C14" s="16">
        <v>3571</v>
      </c>
      <c r="F14" s="14" t="s">
        <v>18</v>
      </c>
      <c r="G14" s="18">
        <v>1350</v>
      </c>
    </row>
    <row r="15" spans="2:11" x14ac:dyDescent="0.3">
      <c r="F15" s="14" t="s">
        <v>313</v>
      </c>
      <c r="G15" s="18">
        <v>1350</v>
      </c>
    </row>
    <row r="20" spans="2:11" x14ac:dyDescent="0.3">
      <c r="B20" t="s">
        <v>317</v>
      </c>
      <c r="C20" s="18">
        <f>GETPIVOTDATA("Total Value",$B$11)</f>
        <v>3571</v>
      </c>
    </row>
    <row r="21" spans="2:11" x14ac:dyDescent="0.3">
      <c r="B21" t="s">
        <v>19</v>
      </c>
      <c r="C21" s="18">
        <f>GETPIVOTDATA("Total Value",$B$11,"Auto Renewal","Yes")</f>
        <v>747</v>
      </c>
    </row>
    <row r="22" spans="2:11" x14ac:dyDescent="0.3">
      <c r="B22" t="s">
        <v>23</v>
      </c>
      <c r="C22" s="18">
        <f>GETPIVOTDATA("Total Value",$B$11,"Auto Renewal","No")</f>
        <v>2824</v>
      </c>
      <c r="J22" s="13" t="s">
        <v>16</v>
      </c>
      <c r="K22" t="s">
        <v>20</v>
      </c>
    </row>
    <row r="23" spans="2:11" x14ac:dyDescent="0.3">
      <c r="B23" t="s">
        <v>318</v>
      </c>
      <c r="C23" s="18">
        <f>GETPIVOTDATA("EA Play Season Pass
Price",$F$11)</f>
        <v>1350</v>
      </c>
      <c r="F23" s="13" t="s">
        <v>16</v>
      </c>
      <c r="G23" t="s">
        <v>20</v>
      </c>
    </row>
    <row r="24" spans="2:11" x14ac:dyDescent="0.3">
      <c r="B24" t="s">
        <v>319</v>
      </c>
      <c r="C24" s="18">
        <f>GETPIVOTDATA("Minecraft Season Pass Price",$J$9)</f>
        <v>1800</v>
      </c>
      <c r="J24" s="13" t="s">
        <v>312</v>
      </c>
      <c r="K24" t="s">
        <v>314</v>
      </c>
    </row>
    <row r="25" spans="2:11" x14ac:dyDescent="0.3">
      <c r="B25" t="s">
        <v>320</v>
      </c>
      <c r="C25" s="18">
        <f>GETPIVOTDATA("Total Value",$B$11)</f>
        <v>3571</v>
      </c>
      <c r="F25" t="s">
        <v>314</v>
      </c>
      <c r="G25" t="s">
        <v>322</v>
      </c>
      <c r="J25" s="14" t="s">
        <v>22</v>
      </c>
      <c r="K25" s="15">
        <v>192</v>
      </c>
    </row>
    <row r="26" spans="2:11" x14ac:dyDescent="0.3">
      <c r="B26" t="s">
        <v>323</v>
      </c>
      <c r="C26">
        <f>GETPIVOTDATA("Contagem de Subscriber ID",$F$25)</f>
        <v>139</v>
      </c>
      <c r="F26" s="16">
        <v>3571</v>
      </c>
      <c r="G26" s="20">
        <v>139</v>
      </c>
      <c r="J26" s="14" t="s">
        <v>26</v>
      </c>
      <c r="K26" s="15">
        <v>958</v>
      </c>
    </row>
    <row r="27" spans="2:11" x14ac:dyDescent="0.3">
      <c r="B27" t="s">
        <v>324</v>
      </c>
      <c r="C27" s="18">
        <f>C20/C26</f>
        <v>25.690647482014388</v>
      </c>
      <c r="J27" s="14" t="s">
        <v>18</v>
      </c>
      <c r="K27" s="15">
        <v>2421</v>
      </c>
    </row>
    <row r="28" spans="2:11" x14ac:dyDescent="0.3">
      <c r="J28" s="14" t="s">
        <v>313</v>
      </c>
      <c r="K28" s="15">
        <v>3571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B7"/>
  <sheetViews>
    <sheetView showGridLines="0" showRowColHeaders="0" tabSelected="1" zoomScale="60" zoomScaleNormal="60" workbookViewId="0">
      <selection activeCell="Z55" sqref="Z55"/>
    </sheetView>
  </sheetViews>
  <sheetFormatPr defaultRowHeight="15.05" x14ac:dyDescent="0.3"/>
  <cols>
    <col min="1" max="1" width="22.6640625" style="4" customWidth="1"/>
    <col min="2" max="2" width="3.5546875" customWidth="1"/>
    <col min="8" max="8" width="11.5546875" customWidth="1"/>
    <col min="9" max="9" width="10.5546875" bestFit="1" customWidth="1"/>
    <col min="12" max="12" width="6.5546875" customWidth="1"/>
    <col min="26" max="26" width="114.33203125" customWidth="1"/>
  </cols>
  <sheetData>
    <row r="1" spans="27:28" ht="47.6" customHeight="1" x14ac:dyDescent="0.3"/>
    <row r="2" spans="27:28" ht="39" customHeight="1" x14ac:dyDescent="0.3">
      <c r="AA2" t="s">
        <v>15</v>
      </c>
      <c r="AB2" s="19" t="s">
        <v>321</v>
      </c>
    </row>
    <row r="3" spans="27:28" ht="8.3000000000000007" customHeight="1" x14ac:dyDescent="0.3">
      <c r="AA3" s="19" t="s">
        <v>23</v>
      </c>
      <c r="AB3" s="18">
        <f>C̳álculos!C22</f>
        <v>2824</v>
      </c>
    </row>
    <row r="4" spans="27:28" ht="7.55" customHeight="1" x14ac:dyDescent="0.3">
      <c r="AA4" s="19" t="s">
        <v>19</v>
      </c>
      <c r="AB4" s="18">
        <f>C̳álculos!C21</f>
        <v>747</v>
      </c>
    </row>
    <row r="5" spans="27:28" ht="10.5" customHeight="1" x14ac:dyDescent="0.3"/>
    <row r="6" spans="27:28" ht="9.6999999999999993" customHeight="1" x14ac:dyDescent="0.3"/>
    <row r="7" spans="27:28" ht="33.049999999999997" customHeight="1" x14ac:dyDescent="0.3"/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Namiriane Leal</cp:lastModifiedBy>
  <dcterms:created xsi:type="dcterms:W3CDTF">2024-12-19T13:13:10Z</dcterms:created>
  <dcterms:modified xsi:type="dcterms:W3CDTF">2026-01-20T16:05:04Z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